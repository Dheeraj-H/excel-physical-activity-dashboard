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Dinak Raj\Desktop\"/>
    </mc:Choice>
  </mc:AlternateContent>
  <xr:revisionPtr revIDLastSave="0" documentId="13_ncr:1_{3BB8754E-D16D-4F72-BBB8-8EDEF9714A4D}" xr6:coauthVersionLast="47" xr6:coauthVersionMax="47" xr10:uidLastSave="{00000000-0000-0000-0000-000000000000}"/>
  <bookViews>
    <workbookView xWindow="-108" yWindow="-108" windowWidth="23256" windowHeight="13176" firstSheet="1" activeTab="10" xr2:uid="{1773B36E-F191-469F-905B-161D0FC03346}"/>
  </bookViews>
  <sheets>
    <sheet name="Sheet1" sheetId="1" r:id="rId1"/>
    <sheet name="Sheet2" sheetId="2" r:id="rId2"/>
    <sheet name="Sheet3" sheetId="3" r:id="rId3"/>
    <sheet name="Sheet4" sheetId="4" r:id="rId4"/>
    <sheet name="MasterData" sheetId="5" r:id="rId5"/>
    <sheet name="pivot_1" sheetId="9" r:id="rId6"/>
    <sheet name="pivot_2" sheetId="10" r:id="rId7"/>
    <sheet name="pivot_3" sheetId="11" r:id="rId8"/>
    <sheet name="pivot_4" sheetId="12" r:id="rId9"/>
    <sheet name="calc" sheetId="13" r:id="rId10"/>
    <sheet name="Dashboard" sheetId="8" r:id="rId11"/>
  </sheets>
  <definedNames>
    <definedName name="Slicer_Age_Range">#N/A</definedName>
    <definedName name="Slicer_Group">#N/A</definedName>
    <definedName name="Slicer_Region">#N/A</definedName>
    <definedName name="Slicer_Source___Method">#N/A</definedName>
    <definedName name="Slicer_Typ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3" l="1"/>
  <c r="B5" i="13"/>
  <c r="B4" i="13" a="1"/>
  <c r="B4" i="13"/>
  <c r="B3"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<sst xmlns="http://schemas.openxmlformats.org/spreadsheetml/2006/main" count="349" uniqueCount="243">
  <si>
    <t>Age Range</t>
  </si>
  <si>
    <t>Assumed % Active</t>
  </si>
  <si>
    <t>Assumption</t>
  </si>
  <si>
    <t>Low–Medium</t>
  </si>
  <si>
    <t>Low</t>
  </si>
  <si>
    <t>Source</t>
  </si>
  <si>
    <t>Year / Period</t>
  </si>
  <si>
    <t>Population / Age Range / Sample Details</t>
  </si>
  <si>
    <t>% Inactive / Insufficiently Active (Women)</t>
  </si>
  <si>
    <t>% Active (computed)</t>
  </si>
  <si>
    <t>Definition / Notes</t>
  </si>
  <si>
    <t>ICMR-INDIAB Phase-1 (4-region study)</t>
  </si>
  <si>
    <t>2010s (≥ 20 yrs)</t>
  </si>
  <si>
    <t>Urban + rural, 4-state sample (Chandigarh, Tamilnadu, Maharashtra, Jharkhand) (SpringerLink)</t>
  </si>
  <si>
    <t>63.0% (females) (SpringerLink)</t>
  </si>
  <si>
    <t>Inactivity per GPAQ — includes work, transport, recreation; &gt; 90% reported no recreational activity (SpringerLink)</t>
  </si>
  <si>
    <t>National 2022 estimate (via WHO/Lancet)</t>
  </si>
  <si>
    <t>2022, Adults 18+</t>
  </si>
  <si>
    <t>All-India, population-based survey data aggregated over India (www.ndtv.com)</t>
  </si>
  <si>
    <t>57.0% (women insufficiently active) (www.ndtv.com)</t>
  </si>
  <si>
    <t>“Insufficient physical activity” = &lt; 150 min moderate or &lt; 75 min vigorous activity per week (per WHO guideline) (India Today)</t>
  </si>
  <si>
    <t>Baseline Label / Assumption</t>
  </si>
  <si>
    <t>Assumed % Inactive</t>
  </si>
  <si>
    <t>Rationale / Notes</t>
  </si>
  <si>
    <t>Younger-women proxy (low activity)</t>
  </si>
  <si>
    <t>Based loosely on ~53% inactivity reported in some women-survey / fitness-app–based samples (though biased, urban likely)</t>
  </si>
  <si>
    <t>Hypothetical “Healthy baseline”</t>
  </si>
  <si>
    <t>Assumes ideal moderate-to-good activity level typical of younger adults before heavy family/household commitments</t>
  </si>
  <si>
    <t>Conservative baseline (moderate)</t>
  </si>
  <si>
    <t>Mix of realism and optimism — midway assumption for sensitivity analysis</t>
  </si>
  <si>
    <t>Baseline Label</t>
  </si>
  <si>
    <t>Baseline % Active</t>
  </si>
  <si>
    <t>Published Data Source</t>
  </si>
  <si>
    <t>Published Adult Women % Active</t>
  </si>
  <si>
    <t>Estimated % Point Drop (Baseline → Published)</t>
  </si>
  <si>
    <t>Interpretation / Comments</t>
  </si>
  <si>
    <t>Younger-women proxy (47%)</t>
  </si>
  <si>
    <t>National 2022 (WHO/Lancet)</t>
  </si>
  <si>
    <t>4.0 pp drop</t>
  </si>
  <si>
    <t>Small drop — suggests women’s activity might decline modestly from this baseline</t>
  </si>
  <si>
    <t>ICMR-INDIAB (4-region)</t>
  </si>
  <si>
    <t>10.0 pp drop</t>
  </si>
  <si>
    <t>Larger drop — possibly indicates decline over adulthood or variation across regions</t>
  </si>
  <si>
    <t>Hypothetical Healthy baseline (70%)</t>
  </si>
  <si>
    <t>27.0 pp drop</t>
  </si>
  <si>
    <t>Large drop — indicates strong potential decline under optimistic baseline assumption</t>
  </si>
  <si>
    <t>33.0 pp drop</t>
  </si>
  <si>
    <t>Even larger drop — illustrates pessimistic scenario assuming high baseline</t>
  </si>
  <si>
    <t>Conservative baseline (60%)</t>
  </si>
  <si>
    <t>17.0 pp drop</t>
  </si>
  <si>
    <t>Medium-size drop; shows moderate decline under moderate baseline</t>
  </si>
  <si>
    <t>23.0 pp drop</t>
  </si>
  <si>
    <t>Significant drop — interpretation depends on baseline validity</t>
  </si>
  <si>
    <t>Assumption / Parameter</t>
  </si>
  <si>
    <t>Rationale / Why we assume it</t>
  </si>
  <si>
    <t>Possible Impact if Assumption is Incorrect</t>
  </si>
  <si>
    <t>Confidence Level (High / Medium / Low)</t>
  </si>
  <si>
    <t>Younger-women proxy baseline represents pre-marriage activity</t>
  </si>
  <si>
    <t>No public longitudinal data; younger adult data is the closest available proxy</t>
  </si>
  <si>
    <t>If baseline is overestimated → drop overestimated; if baseline underestimated → drop underestimated</t>
  </si>
  <si>
    <t>Published adult data reflects population including many married women</t>
  </si>
  <si>
    <t>National/regional surveys typically include all adults, many likely married</t>
  </si>
  <si>
    <t>If many unmarried included → published active % may be higher than for married group → drop overestimated</t>
  </si>
  <si>
    <t>Medium</t>
  </si>
  <si>
    <t>Inactivity definitions across studies are comparable</t>
  </si>
  <si>
    <t>We need uniform basis for comparison</t>
  </si>
  <si>
    <t>Differences in definition (GPAQ vs WHO guideline vs self-report/app) can distort comparison</t>
  </si>
  <si>
    <t>Urban/rural, socioeconomic, regional differences ignored for simplicity</t>
  </si>
  <si>
    <t>Data complexity; limited data availability</t>
  </si>
  <si>
    <t>Real-world variation may be significant — results may not generalize</t>
  </si>
  <si>
    <t>Baseline assumptions (30–70% active) bracket realistic extremes</t>
  </si>
  <si>
    <t>Provide sensitivity analysis range</t>
  </si>
  <si>
    <t>If real baseline lies outside assumed range → results misrepresent reality</t>
  </si>
  <si>
    <t>Assumptions &amp; Limitations Log</t>
  </si>
  <si>
    <t>Comparative Analysis: Baseline vs Published Data</t>
  </si>
  <si>
    <t>Baseline Assumptions (“Pre-Marriage / Younger Adult Baseline”)</t>
  </si>
  <si>
    <t>Published Data (Adult Women)</t>
  </si>
  <si>
    <t>MasterData</t>
  </si>
  <si>
    <t>RecordType</t>
  </si>
  <si>
    <t>Population / AgeRange / Sample Details</t>
  </si>
  <si>
    <t>% Inactive (Women)</t>
  </si>
  <si>
    <t>Source / Baseline Label</t>
  </si>
  <si>
    <t>Published Data</t>
  </si>
  <si>
    <t>Baseline</t>
  </si>
  <si>
    <t>Younger adult women (proxy for pre-marriage)</t>
  </si>
  <si>
    <t>Assumption based on some women-survey / app-based inactivity rates (recognising bias)</t>
  </si>
  <si>
    <t>Younger adult women (proxy)</t>
  </si>
  <si>
    <t>Assumed moderate activity baseline — for sensitivity analysis</t>
  </si>
  <si>
    <t>Hypothetical ideal baseline</t>
  </si>
  <si>
    <t>Assumes ideal activity levels before heavy domestic / life responsibilities</t>
  </si>
  <si>
    <t>% Inactive / Insufficiently Active (Women / Sample)</t>
  </si>
  <si>
    <t>% Active (computed / Sample)</t>
  </si>
  <si>
    <t>A study among women in coastal Karnataka, community survey</t>
  </si>
  <si>
    <t>2019 (study published 2019) (Researcher Manipal)</t>
  </si>
  <si>
    <t>Women aged 18–49 yrs, coastal-Karnataka, community sample, n = 181 (Researcher Manipal)</t>
  </si>
  <si>
    <t>Physical activity measured via International Physical Activity Questionnaire (IPAQ); self-reported; not a statewide sample — only one region of coastal Karnataka (Researcher Manipal)</t>
  </si>
  <si>
    <t>Study of female undergraduate students in Mandya district, South Karnataka</t>
  </si>
  <si>
    <t>2023 (data collected Nov–Dec 2023) (IJCMPH)</t>
  </si>
  <si>
    <t>Female undergrad students at one women’s degree college, Mandya, South Karnataka (age roughly 18–22), n = 170 (IJCMPH)</t>
  </si>
  <si>
    <t>PA assessed using Global Physical Activity Questionnaire (GPAQ), using MET-based classification (low / moderate / high); sample is students — not general population — so likely more active than average for all women (IJCMPH)</t>
  </si>
  <si>
    <t>Rural-area cross-sectional study in coastal Karnataka (two age groups: 20–30 yrs &amp; 50–60 yrs)</t>
  </si>
  <si>
    <t>2024 (published) (PMC)</t>
  </si>
  <si>
    <t>Mixed rural community (male + female), coastal-Karnataka village, sample size 320 (160 in 20–30 yrs, 160 in 50–60 yrs) (PMC)</t>
  </si>
  <si>
    <t>49.4% active (20–30 yrs), 86.2% active (50–60 yrs)</t>
  </si>
  <si>
    <t>PA assessed via IPAQ; because the sample mixes genders and includes both men and women, this cannot directly give women-only inactivity levels — so this row is of limited usefulness for women-only analysis (PMC)</t>
  </si>
  <si>
    <t>Row Labels</t>
  </si>
  <si>
    <t>Grand Total</t>
  </si>
  <si>
    <t>Women aged 18–49 yrs, coastal-Karnataka</t>
  </si>
  <si>
    <t>Female undergrade students at one women’s degree college, Mandya, South Karnataka (age roughly 18–22)</t>
  </si>
  <si>
    <t>Mixed rural community (male + female), coastal-Karnataka village</t>
  </si>
  <si>
    <t>Category / Study</t>
  </si>
  <si>
    <t>Published % Active</t>
  </si>
  <si>
    <t>Published % Inactive</t>
  </si>
  <si>
    <t>Baseline % Active (Low / Healthy / Moderate)</t>
  </si>
  <si>
    <t>Comparison Insight</t>
  </si>
  <si>
    <t>Coastal Karnataka – Adult Women (Community Sample)</t>
  </si>
  <si>
    <t>82.9% active</t>
  </si>
  <si>
    <t>17.1% inactive</t>
  </si>
  <si>
    <t>47% / 70% / 60%</t>
  </si>
  <si>
    <t>Mandya District – Female Undergrad Students</t>
  </si>
  <si>
    <t>29.4% low activity</t>
  </si>
  <si>
    <t>Rural Coastal Karnataka (Women subgroup not isolated; mixed sample)</t>
  </si>
  <si>
    <t>20–30 yrs: 49.4% active50–60 yrs: 86.2% active</t>
  </si>
  <si>
    <t>50.6% inactive (20–30 yrs)</t>
  </si>
  <si>
    <t>Overall Comparison Trend</t>
  </si>
  <si>
    <t>—</t>
  </si>
  <si>
    <t>Published data ranges widely (49%–83% active). Younger/student groups tend to align with healthier baselines; rural young-adult women appear closer to low-activity baseline.</t>
  </si>
  <si>
    <r>
      <t>70.6% moderate+ activity</t>
    </r>
    <r>
      <rPr>
        <sz val="11"/>
        <color theme="1"/>
        <rFont val="Calibri"/>
        <family val="2"/>
        <scheme val="minor"/>
      </rPr>
      <t xml:space="preserve"> (i.e., treated as active)</t>
    </r>
  </si>
  <si>
    <r>
      <t xml:space="preserve">Significantly </t>
    </r>
    <r>
      <rPr>
        <sz val="11"/>
        <color theme="1"/>
        <rFont val="Calibri"/>
        <family val="2"/>
        <scheme val="minor"/>
      </rPr>
      <t>higher activity than all baselines; sample likely biased toward active/urban or self-reported overestimation.</t>
    </r>
  </si>
  <si>
    <r>
      <t xml:space="preserve">Matches the </t>
    </r>
    <r>
      <rPr>
        <sz val="11"/>
        <color theme="1"/>
        <rFont val="Calibri"/>
        <family val="2"/>
        <scheme val="minor"/>
      </rPr>
      <t>Healthy Baseline (70%) almost exactly; higher than Low Baseline; slightly above Moderate Baseline.</t>
    </r>
  </si>
  <si>
    <r>
      <t>20–30 yrs:</t>
    </r>
    <r>
      <rPr>
        <sz val="11"/>
        <color theme="1"/>
        <rFont val="Calibri"/>
        <family val="2"/>
        <scheme val="minor"/>
      </rPr>
      <t xml:space="preserve"> aligns very closely with Low Baseline (47%). </t>
    </r>
    <r>
      <rPr>
        <i/>
        <sz val="11"/>
        <color theme="1"/>
        <rFont val="Calibri"/>
        <family val="2"/>
        <scheme val="minor"/>
      </rPr>
      <t>50–60 yrs:</t>
    </r>
    <r>
      <rPr>
        <sz val="11"/>
        <color theme="1"/>
        <rFont val="Calibri"/>
        <family val="2"/>
        <scheme val="minor"/>
      </rPr>
      <t xml:space="preserve"> much higher than all baselines, but not reliable for women-only comparison (mixed gender sample).</t>
    </r>
  </si>
  <si>
    <t>Category</t>
  </si>
  <si>
    <t>Description</t>
  </si>
  <si>
    <t>Assumption / Limitation Type</t>
  </si>
  <si>
    <t>Impact on Analysis</t>
  </si>
  <si>
    <t>Mitigation / Notes</t>
  </si>
  <si>
    <t>Younger-Women Baseline (47% Active)</t>
  </si>
  <si>
    <t>Proxy baseline created from selective survey/fitness-app data (urban-skewed).</t>
  </si>
  <si>
    <t>Healthy Baseline (70% Active)</t>
  </si>
  <si>
    <t>Idealized estimate reflecting young-adult population before increased responsibilities.</t>
  </si>
  <si>
    <t>Moderate Baseline (60% Active)</t>
  </si>
  <si>
    <t>Balanced baseline between optimistic &amp; conservative assumptions.</t>
  </si>
  <si>
    <t>Represents midpoint; may not reflect extreme rural or highly active groups.</t>
  </si>
  <si>
    <t>Student Sample (Mandya District)</t>
  </si>
  <si>
    <t>70.6% active classification applied to all students as “active.”</t>
  </si>
  <si>
    <t>Limitation</t>
  </si>
  <si>
    <t>Coastal Karnataka Community Sample</t>
  </si>
  <si>
    <t>82.9% active based on self-reported IPAQ.</t>
  </si>
  <si>
    <t>Rural Study (Mixed Gender)</t>
  </si>
  <si>
    <t>49.4% active (20–30 yrs) &amp; 86.2% active (50–60 yrs), but sample includes men.</t>
  </si>
  <si>
    <t>Cannot isolate women’s activity levels; gender mix distorts results.</t>
  </si>
  <si>
    <t>Use of IPAQ / GPAQ Tools</t>
  </si>
  <si>
    <t>All studies rely on questionnaires, not accelerometers.</t>
  </si>
  <si>
    <t>Treated as indicative, not as precise measurements.</t>
  </si>
  <si>
    <t>Regional Differences</t>
  </si>
  <si>
    <t>Studies from coastal Karnataka, Mandya district, rural Karnataka.</t>
  </si>
  <si>
    <t>Age Range Variability</t>
  </si>
  <si>
    <t>Some studies focused on 18–29 yrs; others included 50–60 yrs.</t>
  </si>
  <si>
    <t>Mixing age groups distorts comparability; older groups often show very different patterns.</t>
  </si>
  <si>
    <t>Baseline Construction Method</t>
  </si>
  <si>
    <t>Baselines are synthetic, not derived from a representative national dataset.</t>
  </si>
  <si>
    <t>Used for sensitivity testing only, not for population inference.</t>
  </si>
  <si>
    <r>
      <t xml:space="preserve">May </t>
    </r>
    <r>
      <rPr>
        <sz val="11"/>
        <color theme="1"/>
        <rFont val="Calibri"/>
        <family val="2"/>
        <scheme val="minor"/>
      </rPr>
      <t>underestimate true activity levels for general young-adult women because data is biased toward inactive users.</t>
    </r>
  </si>
  <si>
    <r>
      <t xml:space="preserve">Treated as </t>
    </r>
    <r>
      <rPr>
        <i/>
        <sz val="11"/>
        <color theme="1"/>
        <rFont val="Calibri"/>
        <family val="2"/>
        <scheme val="minor"/>
      </rPr>
      <t>lower-bound scenario</t>
    </r>
    <r>
      <rPr>
        <sz val="11"/>
        <color theme="1"/>
        <rFont val="Calibri"/>
        <family val="2"/>
        <scheme val="minor"/>
      </rPr>
      <t xml:space="preserve"> for sensitivity analysis.</t>
    </r>
  </si>
  <si>
    <r>
      <t xml:space="preserve">May </t>
    </r>
    <r>
      <rPr>
        <sz val="11"/>
        <color theme="1"/>
        <rFont val="Calibri"/>
        <family val="2"/>
        <scheme val="minor"/>
      </rPr>
      <t>overestimate activity for general population; not all women sustain such activity levels.</t>
    </r>
  </si>
  <si>
    <r>
      <t xml:space="preserve">Used for </t>
    </r>
    <r>
      <rPr>
        <i/>
        <sz val="11"/>
        <color theme="1"/>
        <rFont val="Calibri"/>
        <family val="2"/>
        <scheme val="minor"/>
      </rPr>
      <t>upper-bound scenario</t>
    </r>
    <r>
      <rPr>
        <sz val="11"/>
        <color theme="1"/>
        <rFont val="Calibri"/>
        <family val="2"/>
        <scheme val="minor"/>
      </rPr>
      <t>; validated loosely by student sample showing 70.6% active.</t>
    </r>
  </si>
  <si>
    <r>
      <t xml:space="preserve">Used as </t>
    </r>
    <r>
      <rPr>
        <sz val="11"/>
        <color theme="1"/>
        <rFont val="Calibri"/>
        <family val="2"/>
        <scheme val="minor"/>
      </rPr>
      <t>central scenario for comparison.</t>
    </r>
  </si>
  <si>
    <r>
      <t xml:space="preserve">Students are </t>
    </r>
    <r>
      <rPr>
        <sz val="11"/>
        <color theme="1"/>
        <rFont val="Calibri"/>
        <family val="2"/>
        <scheme val="minor"/>
      </rPr>
      <t>not representative of the general adult female population (younger, educated, urban/town bias).</t>
    </r>
  </si>
  <si>
    <r>
      <t xml:space="preserve">Interpreted as a reference for </t>
    </r>
    <r>
      <rPr>
        <i/>
        <sz val="11"/>
        <color theme="1"/>
        <rFont val="Calibri"/>
        <family val="2"/>
        <scheme val="minor"/>
      </rPr>
      <t>younger/healthier</t>
    </r>
    <r>
      <rPr>
        <sz val="11"/>
        <color theme="1"/>
        <rFont val="Calibri"/>
        <family val="2"/>
        <scheme val="minor"/>
      </rPr>
      <t xml:space="preserve"> activity levels.</t>
    </r>
  </si>
  <si>
    <r>
      <t xml:space="preserve">IPAQ self-reports typically </t>
    </r>
    <r>
      <rPr>
        <sz val="11"/>
        <color theme="1"/>
        <rFont val="Calibri"/>
        <family val="2"/>
        <scheme val="minor"/>
      </rPr>
      <t>overestimate physical activity; coastal region sample not statewide.</t>
    </r>
  </si>
  <si>
    <r>
      <t xml:space="preserve">Considered </t>
    </r>
    <r>
      <rPr>
        <sz val="11"/>
        <color theme="1"/>
        <rFont val="Calibri"/>
        <family val="2"/>
        <scheme val="minor"/>
      </rPr>
      <t>upper extreme and not applied as default baseline.</t>
    </r>
  </si>
  <si>
    <r>
      <t xml:space="preserve">Only </t>
    </r>
    <r>
      <rPr>
        <sz val="11"/>
        <color theme="1"/>
        <rFont val="Calibri"/>
        <family val="2"/>
        <scheme val="minor"/>
      </rPr>
      <t>20–30 yr group used cautiously as proxy for rural young-adult women.</t>
    </r>
  </si>
  <si>
    <r>
      <t xml:space="preserve">Self-reported tools generally </t>
    </r>
    <r>
      <rPr>
        <sz val="11"/>
        <color theme="1"/>
        <rFont val="Calibri"/>
        <family val="2"/>
        <scheme val="minor"/>
      </rPr>
      <t>inflate activity and misclassify “moderate” levels.</t>
    </r>
  </si>
  <si>
    <r>
      <t xml:space="preserve">Physical activity varies widely by </t>
    </r>
    <r>
      <rPr>
        <sz val="11"/>
        <color theme="1"/>
        <rFont val="Calibri"/>
        <family val="2"/>
        <scheme val="minor"/>
      </rPr>
      <t>culture, occupation, and geography; results not generalizable statewide.</t>
    </r>
  </si>
  <si>
    <r>
      <t xml:space="preserve">Combined results only used for </t>
    </r>
    <r>
      <rPr>
        <sz val="11"/>
        <color theme="1"/>
        <rFont val="Calibri"/>
        <family val="2"/>
        <scheme val="minor"/>
      </rPr>
      <t>directional comparison, not prevalence estimation.</t>
    </r>
  </si>
  <si>
    <r>
      <t xml:space="preserve">Analysis segmented between </t>
    </r>
    <r>
      <rPr>
        <i/>
        <sz val="11"/>
        <color theme="1"/>
        <rFont val="Calibri"/>
        <family val="2"/>
        <scheme val="minor"/>
      </rPr>
      <t>younger</t>
    </r>
    <r>
      <rPr>
        <sz val="11"/>
        <color theme="1"/>
        <rFont val="Calibri"/>
        <family val="2"/>
        <scheme val="minor"/>
      </rPr>
      <t xml:space="preserve"> and </t>
    </r>
    <r>
      <rPr>
        <i/>
        <sz val="11"/>
        <color theme="1"/>
        <rFont val="Calibri"/>
        <family val="2"/>
        <scheme val="minor"/>
      </rPr>
      <t>older</t>
    </r>
    <r>
      <rPr>
        <sz val="11"/>
        <color theme="1"/>
        <rFont val="Calibri"/>
        <family val="2"/>
        <scheme val="minor"/>
      </rPr>
      <t xml:space="preserve"> groups; older group not used for baselines.</t>
    </r>
  </si>
  <si>
    <r>
      <t xml:space="preserve">Introduces </t>
    </r>
    <r>
      <rPr>
        <sz val="11"/>
        <color theme="1"/>
        <rFont val="Calibri"/>
        <family val="2"/>
        <scheme val="minor"/>
      </rPr>
      <t>modeling assumptions that may not reflect true prevalence.</t>
    </r>
  </si>
  <si>
    <t>Record Type</t>
  </si>
  <si>
    <t>Label / Study Name</t>
  </si>
  <si>
    <t>Population / Group</t>
  </si>
  <si>
    <t>Region</t>
  </si>
  <si>
    <t>% Active</t>
  </si>
  <si>
    <t>% Inactive</t>
  </si>
  <si>
    <t>Method / Tool</t>
  </si>
  <si>
    <t>Notes / Limitations</t>
  </si>
  <si>
    <t>Published</t>
  </si>
  <si>
    <t>Women aged 18–49 yrs</t>
  </si>
  <si>
    <t>Coastal Karnataka</t>
  </si>
  <si>
    <t>IPAQ (self-reported)</t>
  </si>
  <si>
    <t>High activity; likely overestimate; not statewide; self-report bias.</t>
  </si>
  <si>
    <t>Mandya District – Female Undergraduate Students</t>
  </si>
  <si>
    <t>2023 (Nov–Dec)</t>
  </si>
  <si>
    <t>Female undergrad students (18–22 yrs)</t>
  </si>
  <si>
    <t>Mandya, South Karnataka</t>
  </si>
  <si>
    <t>29.4% (low PA)</t>
  </si>
  <si>
    <t>GPAQ (MET-based)</t>
  </si>
  <si>
    <t>Younger, educated sample; not general population; aligns with healthy baseline.</t>
  </si>
  <si>
    <t>Rural Karnataka – Mixed Sample (20–30 yrs subgroup)</t>
  </si>
  <si>
    <t>Mixed rural community; women not isolated</t>
  </si>
  <si>
    <t>Coastal Karnataka rural</t>
  </si>
  <si>
    <t>IPAQ</t>
  </si>
  <si>
    <t>Mixed gender; only 20–30 group used cautiously as proxy for rural younger adults.</t>
  </si>
  <si>
    <t>Published (Not used for women-only comparison)</t>
  </si>
  <si>
    <t>Rural Karnataka – Mixed Sample (50–60 yrs subgroup)</t>
  </si>
  <si>
    <t>Mixed sample ages 50–60 yrs</t>
  </si>
  <si>
    <t>Includes men; cannot isolate women; not used in core baseline calculations.</t>
  </si>
  <si>
    <t>Baseline (Assumption)</t>
  </si>
  <si>
    <t>Younger-Women Proxy (Low Activity)</t>
  </si>
  <si>
    <t>General young-adult women</t>
  </si>
  <si>
    <t>Modeled</t>
  </si>
  <si>
    <t>Low-end estimate based on app/survey data; urban bias; lower-bound scenario.</t>
  </si>
  <si>
    <t>Hypothetical “Healthy” Baseline</t>
  </si>
  <si>
    <t>Ideal young-adult activity</t>
  </si>
  <si>
    <t>Represents ideal/healthy activity; upper-bound scenario.</t>
  </si>
  <si>
    <t>Conservative Moderate Baseline</t>
  </si>
  <si>
    <t>General younger adult</t>
  </si>
  <si>
    <t>Midpoint assumption; used for central scenario.</t>
  </si>
  <si>
    <r>
      <t>70.6%</t>
    </r>
    <r>
      <rPr>
        <sz val="11"/>
        <color theme="1"/>
        <rFont val="Calibri"/>
        <family val="2"/>
        <scheme val="minor"/>
      </rPr>
      <t xml:space="preserve"> (moderate+ PA)</t>
    </r>
  </si>
  <si>
    <t>Type</t>
  </si>
  <si>
    <t>Group</t>
  </si>
  <si>
    <t>Active%</t>
  </si>
  <si>
    <t>Inactive%</t>
  </si>
  <si>
    <t>Source / Method</t>
  </si>
  <si>
    <t>Adult Women</t>
  </si>
  <si>
    <t>18–49</t>
  </si>
  <si>
    <t>Students</t>
  </si>
  <si>
    <t>18–22</t>
  </si>
  <si>
    <t>Mandya</t>
  </si>
  <si>
    <t>GPAQ</t>
  </si>
  <si>
    <t>Rural Young Adults</t>
  </si>
  <si>
    <t>20–30</t>
  </si>
  <si>
    <t>Rural Coastal Karnataka</t>
  </si>
  <si>
    <t>Young Women (Low)</t>
  </si>
  <si>
    <t>18–30</t>
  </si>
  <si>
    <t>Healthy Young Adult</t>
  </si>
  <si>
    <t>Moderate</t>
  </si>
  <si>
    <t>Average of Active%</t>
  </si>
  <si>
    <t>Average of Inactive%</t>
  </si>
  <si>
    <t>KPI 1</t>
  </si>
  <si>
    <t>KPI 2</t>
  </si>
  <si>
    <t>KPI 3</t>
  </si>
  <si>
    <t>KPI 4</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</si>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</sst>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x14ac:knownFonts="1">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b/>
      <sz val="12"/>
      <color theme="1"/>
      <name val="Calibri"/>
      <family val="2"/>
      <scheme val="minor"/>
    </font>
    <font>
      <b/>
      <sz val="14"/>
      <color theme="1"/>
      <name val="Calibri"/>
      <family val="2"/>
      <scheme val="minor"/>
    </font>
    <font>
      <sz val="8"/>
      <name val="Calibri"/>
      <family val="2"/>
      <scheme val="minor"/>
    </font>
    <font>
      <b/>
      <sz val="24"/>
      <color theme="1"/>
      <name val="Calibri"/>
      <family val="2"/>
      <scheme val="minor"/>
    </font>
  </fonts>
  <fills count="3">
    <fill>
      <patternFill patternType="none"/>
    </fill>
    <fill>
      <patternFill patternType="gray125"/>
    </fill>
    <fill>
      <patternFill patternType="solid">
        <fgColor rgb="FFFFC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3" fillId="0" borderId="0" applyNumberFormat="0" applyFill="0" applyBorder="0" applyAlignment="0" applyProtection="0"/>
  </cellStyleXfs>
  <cellXfs count="33">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3" fillId="0" borderId="1" xfId="1" applyBorder="1" applyAlignment="1">
      <alignment horizontal="center" vertical="center" wrapText="1"/>
    </xf>
    <xf numFmtId="0" fontId="3" fillId="0" borderId="0" xfId="1" applyBorder="1" applyAlignment="1">
      <alignment horizontal="center" vertical="center" wrapText="1"/>
    </xf>
    <xf numFmtId="0" fontId="0" fillId="0" borderId="0" xfId="0" applyAlignment="1">
      <alignment horizontal="center" vertical="center"/>
    </xf>
    <xf numFmtId="10" fontId="0" fillId="0" borderId="1" xfId="0" applyNumberFormat="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8" xfId="0" applyBorder="1" applyAlignment="1">
      <alignment horizontal="center" vertical="center" wrapText="1"/>
    </xf>
    <xf numFmtId="0" fontId="0" fillId="0" borderId="3" xfId="0" applyBorder="1" applyAlignment="1">
      <alignment horizontal="center" vertical="center" wrapText="1"/>
    </xf>
    <xf numFmtId="10" fontId="0" fillId="0" borderId="3" xfId="0" applyNumberFormat="1" applyBorder="1" applyAlignment="1">
      <alignment horizontal="center" vertical="center" wrapText="1"/>
    </xf>
    <xf numFmtId="0" fontId="0" fillId="0" borderId="9" xfId="0" applyBorder="1" applyAlignment="1">
      <alignment horizontal="center" vertical="center" wrapText="1"/>
    </xf>
    <xf numFmtId="0" fontId="1" fillId="2" borderId="6"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9" fontId="0" fillId="0" borderId="1" xfId="0" applyNumberFormat="1" applyBorder="1" applyAlignment="1">
      <alignment horizontal="center" vertical="center" wrapText="1"/>
    </xf>
    <xf numFmtId="0" fontId="4" fillId="0" borderId="0" xfId="0" applyFont="1" applyAlignment="1">
      <alignment vertical="center"/>
    </xf>
    <xf numFmtId="10" fontId="0" fillId="0" borderId="1" xfId="0" applyNumberFormat="1" applyBorder="1" applyAlignment="1">
      <alignment horizontal="center" vertical="center"/>
    </xf>
    <xf numFmtId="9" fontId="0" fillId="0" borderId="3" xfId="0" applyNumberFormat="1" applyBorder="1" applyAlignment="1">
      <alignment horizontal="center" vertical="center" wrapText="1"/>
    </xf>
    <xf numFmtId="0" fontId="1" fillId="0" borderId="4" xfId="0" applyFont="1" applyBorder="1" applyAlignment="1">
      <alignment horizontal="center" vertical="center" wrapText="1"/>
    </xf>
    <xf numFmtId="0" fontId="1" fillId="0" borderId="8" xfId="0" applyFont="1" applyBorder="1" applyAlignment="1">
      <alignment horizontal="center" vertical="center" wrapText="1"/>
    </xf>
    <xf numFmtId="0" fontId="0" fillId="0" borderId="0" xfId="0" pivotButton="1"/>
    <xf numFmtId="0" fontId="0" fillId="0" borderId="0" xfId="0" applyAlignment="1">
      <alignment horizontal="left"/>
    </xf>
    <xf numFmtId="164" fontId="0" fillId="0" borderId="0" xfId="0" applyNumberFormat="1"/>
    <xf numFmtId="0" fontId="5" fillId="0" borderId="0" xfId="0" applyFont="1" applyAlignment="1">
      <alignment horizontal="center" vertical="center"/>
    </xf>
    <xf numFmtId="0" fontId="7" fillId="0" borderId="0" xfId="0" applyFont="1" applyAlignment="1">
      <alignment horizontal="center" vertical="center"/>
    </xf>
    <xf numFmtId="0" fontId="0" fillId="0" borderId="0" xfId="0" applyFont="1"/>
    <xf numFmtId="0" fontId="0" fillId="0" borderId="0" xfId="0" applyNumberFormat="1"/>
  </cellXfs>
  <cellStyles count="2">
    <cellStyle name="Hyperlink" xfId="1" builtinId="8"/>
    <cellStyle name="Normal" xfId="0" builtinId="0"/>
  </cellStyles>
  <dxfs count="22">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numFmt numFmtId="13"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3"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numFmt numFmtId="1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C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C4FC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[Book1.xlsx]pivot_1!PivotTable1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pivot_1!$B$3</c:f>
              <c:strCache>
                <c:ptCount val="1"/>
                <c:pt idx="0">
                  <c:v>Average of Active%</c:v>
                </c:pt>
              </c:strCache>
            </c:strRef>
          </c:tx>
          <c:spPr>
            <a:solidFill>
              <a:schemeClr val="accent1"/>
            </a:solidFill>
            <a:ln>
              <a:noFill/>
            </a:ln>
            <a:effectLst/>
          </c:spPr>
          <c:invertIfNegative val="0"/>
          <c:cat>
            <c:strRef>
              <c:f>pivot_1!$A$4:$A$10</c:f>
              <c:strCache>
                <c:ptCount val="6"/>
                <c:pt idx="0">
                  <c:v>Adult Women</c:v>
                </c:pt>
                <c:pt idx="1">
                  <c:v>Healthy Young Adult</c:v>
                </c:pt>
                <c:pt idx="2">
                  <c:v>Moderate</c:v>
                </c:pt>
                <c:pt idx="3">
                  <c:v>Rural Young Adults</c:v>
                </c:pt>
                <c:pt idx="4">
                  <c:v>Students</c:v>
                </c:pt>
                <c:pt idx="5">
                  <c:v>Young Women (Low)</c:v>
                </c:pt>
              </c:strCache>
            </c:strRef>
          </c:cat>
          <c:val>
            <c:numRef>
              <c:f>pivot_1!$B$4:$B$10</c:f>
              <c:numCache>
                <c:formatCode>General</c:formatCode>
                <c:ptCount val="6"/>
                <c:pt idx="0">
                  <c:v>0.82899999999999996</c:v>
                </c:pt>
                <c:pt idx="1">
                  <c:v>0.7</c:v>
                </c:pt>
                <c:pt idx="2">
                  <c:v>0.6</c:v>
                </c:pt>
                <c:pt idx="3">
                  <c:v>0.49399999999999999</c:v>
                </c:pt>
                <c:pt idx="4">
                  <c:v>0.70599999999999996</c:v>
                </c:pt>
                <c:pt idx="5">
                  <c:v>0.47</c:v>
                </c:pt>
              </c:numCache>
            </c:numRef>
          </c:val>
          <c:extLst>
            <c:ext xmlns:c16="http://schemas.microsoft.com/office/drawing/2014/chart" uri="{C3380CC4-5D6E-409C-BE32-E72D297353CC}">
              <c16:uniqueId val="{00000000-030F-4089-A0A0-4B6E97F02A51}"/>
            </c:ext>
          </c:extLst>
        </c:ser>
        <c:ser>
          <c:idx val="1"/>
          <c:order val="1"/>
          <c:tx>
            <c:strRef>
              <c:f>pivot_1!$C$3</c:f>
              <c:strCache>
                <c:ptCount val="1"/>
                <c:pt idx="0">
                  <c:v>Average of Inactive%</c:v>
                </c:pt>
              </c:strCache>
            </c:strRef>
          </c:tx>
          <c:spPr>
            <a:solidFill>
              <a:schemeClr val="accent2"/>
            </a:solidFill>
            <a:ln>
              <a:noFill/>
            </a:ln>
            <a:effectLst/>
          </c:spPr>
          <c:invertIfNegative val="0"/>
          <c:cat>
            <c:strRef>
              <c:f>pivot_1!$A$4:$A$10</c:f>
              <c:strCache>
                <c:ptCount val="6"/>
                <c:pt idx="0">
                  <c:v>Adult Women</c:v>
                </c:pt>
                <c:pt idx="1">
                  <c:v>Healthy Young Adult</c:v>
                </c:pt>
                <c:pt idx="2">
                  <c:v>Moderate</c:v>
                </c:pt>
                <c:pt idx="3">
                  <c:v>Rural Young Adults</c:v>
                </c:pt>
                <c:pt idx="4">
                  <c:v>Students</c:v>
                </c:pt>
                <c:pt idx="5">
                  <c:v>Young Women (Low)</c:v>
                </c:pt>
              </c:strCache>
            </c:strRef>
          </c:cat>
          <c:val>
            <c:numRef>
              <c:f>pivot_1!$C$4:$C$10</c:f>
              <c:numCache>
                <c:formatCode>General</c:formatCode>
                <c:ptCount val="6"/>
                <c:pt idx="0">
                  <c:v>0.17100000000000001</c:v>
                </c:pt>
                <c:pt idx="1">
                  <c:v>0.3</c:v>
                </c:pt>
                <c:pt idx="2">
                  <c:v>0.4</c:v>
                </c:pt>
                <c:pt idx="3">
                  <c:v>0.50600000000000001</c:v>
                </c:pt>
                <c:pt idx="4">
                  <c:v>0.29399999999999998</c:v>
                </c:pt>
                <c:pt idx="5">
                  <c:v>0.53</c:v>
                </c:pt>
              </c:numCache>
            </c:numRef>
          </c:val>
          <c:extLst>
            <c:ext xmlns:c16="http://schemas.microsoft.com/office/drawing/2014/chart" uri="{C3380CC4-5D6E-409C-BE32-E72D297353CC}">
              <c16:uniqueId val="{00000001-030F-4089-A0A0-4B6E97F02A51}"/>
            </c:ext>
          </c:extLst>
        </c:ser>
        <c:dLbls>
          <c:showLegendKey val="0"/>
          <c:showVal val="0"/>
          <c:showCatName val="0"/>
          <c:showSerName val="0"/>
          <c:showPercent val="0"/>
          <c:showBubbleSize val="0"/>
        </c:dLbls>
        <c:gapWidth val="219"/>
        <c:overlap val="-27"/>
        <c:axId val="793380592"/>
        <c:axId val="793379632"/>
      </c:barChart>
      <c:catAx>
        <c:axId val="7933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379632"/>
        <c:crosses val="autoZero"/>
        <c:auto val="1"/>
        <c:lblAlgn val="ctr"/>
        <c:lblOffset val="100"/>
        <c:noMultiLvlLbl val="0"/>
      </c:catAx>
      <c:valAx>
        <c:axId val="79337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38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[Book1.xlsx]pivot_2!PivotTable2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Age_Range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pivot_2!$B$3</c:f>
              <c:strCache>
                <c:ptCount val="1"/>
                <c:pt idx="0">
                  <c:v>Average of Active%</c:v>
                </c:pt>
              </c:strCache>
            </c:strRef>
          </c:tx>
          <c:spPr>
            <a:solidFill>
              <a:schemeClr val="accent1"/>
            </a:solidFill>
            <a:ln>
              <a:noFill/>
            </a:ln>
            <a:effectLst/>
          </c:spPr>
          <c:invertIfNegative val="0"/>
          <c:cat>
            <c:strRef>
              <c:f>pivot_2!$A$4:$A$8</c:f>
              <c:strCache>
                <c:ptCount val="4"/>
                <c:pt idx="0">
                  <c:v>18–22</c:v>
                </c:pt>
                <c:pt idx="1">
                  <c:v>18–30</c:v>
                </c:pt>
                <c:pt idx="2">
                  <c:v>18–49</c:v>
                </c:pt>
                <c:pt idx="3">
                  <c:v>20–30</c:v>
                </c:pt>
              </c:strCache>
            </c:strRef>
          </c:cat>
          <c:val>
            <c:numRef>
              <c:f>pivot_2!$B$4:$B$8</c:f>
              <c:numCache>
                <c:formatCode>General</c:formatCode>
                <c:ptCount val="4"/>
                <c:pt idx="0">
                  <c:v>0.70599999999999996</c:v>
                </c:pt>
                <c:pt idx="1">
                  <c:v>0.59</c:v>
                </c:pt>
                <c:pt idx="2">
                  <c:v>0.82899999999999996</c:v>
                </c:pt>
                <c:pt idx="3">
                  <c:v>0.49399999999999999</c:v>
                </c:pt>
              </c:numCache>
            </c:numRef>
          </c:val>
          <c:extLst>
            <c:ext xmlns:c16="http://schemas.microsoft.com/office/drawing/2014/chart" uri="{C3380CC4-5D6E-409C-BE32-E72D297353CC}">
              <c16:uniqueId val="{00000000-EAE4-41AD-9A3C-92A34DDE70B9}"/>
            </c:ext>
          </c:extLst>
        </c:ser>
        <c:ser>
          <c:idx val="1"/>
          <c:order val="1"/>
          <c:tx>
            <c:strRef>
              <c:f>pivot_2!$C$3</c:f>
              <c:strCache>
                <c:ptCount val="1"/>
                <c:pt idx="0">
                  <c:v>Average of Inactive%</c:v>
                </c:pt>
              </c:strCache>
            </c:strRef>
          </c:tx>
          <c:spPr>
            <a:solidFill>
              <a:schemeClr val="accent2"/>
            </a:solidFill>
            <a:ln>
              <a:noFill/>
            </a:ln>
            <a:effectLst/>
          </c:spPr>
          <c:invertIfNegative val="0"/>
          <c:cat>
            <c:strRef>
              <c:f>pivot_2!$A$4:$A$8</c:f>
              <c:strCache>
                <c:ptCount val="4"/>
                <c:pt idx="0">
                  <c:v>18–22</c:v>
                </c:pt>
                <c:pt idx="1">
                  <c:v>18–30</c:v>
                </c:pt>
                <c:pt idx="2">
                  <c:v>18–49</c:v>
                </c:pt>
                <c:pt idx="3">
                  <c:v>20–30</c:v>
                </c:pt>
              </c:strCache>
            </c:strRef>
          </c:cat>
          <c:val>
            <c:numRef>
              <c:f>pivot_2!$C$4:$C$8</c:f>
              <c:numCache>
                <c:formatCode>General</c:formatCode>
                <c:ptCount val="4"/>
                <c:pt idx="0">
                  <c:v>0.29399999999999998</c:v>
                </c:pt>
                <c:pt idx="1">
                  <c:v>0.41</c:v>
                </c:pt>
                <c:pt idx="2">
                  <c:v>0.17100000000000001</c:v>
                </c:pt>
                <c:pt idx="3">
                  <c:v>0.50600000000000001</c:v>
                </c:pt>
              </c:numCache>
            </c:numRef>
          </c:val>
          <c:extLst>
            <c:ext xmlns:c16="http://schemas.microsoft.com/office/drawing/2014/chart" uri="{C3380CC4-5D6E-409C-BE32-E72D297353CC}">
              <c16:uniqueId val="{00000001-EAE4-41AD-9A3C-92A34DDE70B9}"/>
            </c:ext>
          </c:extLst>
        </c:ser>
        <c:dLbls>
          <c:showLegendKey val="0"/>
          <c:showVal val="0"/>
          <c:showCatName val="0"/>
          <c:showSerName val="0"/>
          <c:showPercent val="0"/>
          <c:showBubbleSize val="0"/>
        </c:dLbls>
        <c:gapWidth val="219"/>
        <c:overlap val="-27"/>
        <c:axId val="255242720"/>
        <c:axId val="885102256"/>
      </c:barChart>
      <c:catAx>
        <c:axId val="25524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102256"/>
        <c:crosses val="autoZero"/>
        <c:auto val="1"/>
        <c:lblAlgn val="ctr"/>
        <c:lblOffset val="100"/>
        <c:noMultiLvlLbl val="0"/>
      </c:catAx>
      <c:valAx>
        <c:axId val="88510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4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[Book1.xlsx]pivot_3!PivotTable3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pivot_3!$B$3</c:f>
              <c:strCache>
                <c:ptCount val="1"/>
                <c:pt idx="0">
                  <c:v>Average of Active%</c:v>
                </c:pt>
              </c:strCache>
            </c:strRef>
          </c:tx>
          <c:spPr>
            <a:solidFill>
              <a:schemeClr val="accent1"/>
            </a:solidFill>
            <a:ln>
              <a:noFill/>
            </a:ln>
            <a:effectLst/>
          </c:spPr>
          <c:invertIfNegative val="0"/>
          <c:cat>
            <c:strRef>
              <c:f>pivot_3!$A$4:$A$8</c:f>
              <c:strCache>
                <c:ptCount val="4"/>
                <c:pt idx="0">
                  <c:v>—</c:v>
                </c:pt>
                <c:pt idx="1">
                  <c:v>Coastal Karnataka</c:v>
                </c:pt>
                <c:pt idx="2">
                  <c:v>Mandya</c:v>
                </c:pt>
                <c:pt idx="3">
                  <c:v>Rural Coastal Karnataka</c:v>
                </c:pt>
              </c:strCache>
            </c:strRef>
          </c:cat>
          <c:val>
            <c:numRef>
              <c:f>pivot_3!$B$4:$B$8</c:f>
              <c:numCache>
                <c:formatCode>General</c:formatCode>
                <c:ptCount val="4"/>
                <c:pt idx="0">
                  <c:v>0.59</c:v>
                </c:pt>
                <c:pt idx="1">
                  <c:v>0.82899999999999996</c:v>
                </c:pt>
                <c:pt idx="2">
                  <c:v>0.70599999999999996</c:v>
                </c:pt>
                <c:pt idx="3">
                  <c:v>0.49399999999999999</c:v>
                </c:pt>
              </c:numCache>
            </c:numRef>
          </c:val>
          <c:extLst>
            <c:ext xmlns:c16="http://schemas.microsoft.com/office/drawing/2014/chart" uri="{C3380CC4-5D6E-409C-BE32-E72D297353CC}">
              <c16:uniqueId val="{00000000-CEBE-404D-BEFF-44CF213EAE21}"/>
            </c:ext>
          </c:extLst>
        </c:ser>
        <c:ser>
          <c:idx val="1"/>
          <c:order val="1"/>
          <c:tx>
            <c:strRef>
              <c:f>pivot_3!$C$3</c:f>
              <c:strCache>
                <c:ptCount val="1"/>
                <c:pt idx="0">
                  <c:v>Average of Inactive%</c:v>
                </c:pt>
              </c:strCache>
            </c:strRef>
          </c:tx>
          <c:spPr>
            <a:solidFill>
              <a:schemeClr val="accent2"/>
            </a:solidFill>
            <a:ln>
              <a:noFill/>
            </a:ln>
            <a:effectLst/>
          </c:spPr>
          <c:invertIfNegative val="0"/>
          <c:cat>
            <c:strRef>
              <c:f>pivot_3!$A$4:$A$8</c:f>
              <c:strCache>
                <c:ptCount val="4"/>
                <c:pt idx="0">
                  <c:v>—</c:v>
                </c:pt>
                <c:pt idx="1">
                  <c:v>Coastal Karnataka</c:v>
                </c:pt>
                <c:pt idx="2">
                  <c:v>Mandya</c:v>
                </c:pt>
                <c:pt idx="3">
                  <c:v>Rural Coastal Karnataka</c:v>
                </c:pt>
              </c:strCache>
            </c:strRef>
          </c:cat>
          <c:val>
            <c:numRef>
              <c:f>pivot_3!$C$4:$C$8</c:f>
              <c:numCache>
                <c:formatCode>General</c:formatCode>
                <c:ptCount val="4"/>
                <c:pt idx="0">
                  <c:v>0.41</c:v>
                </c:pt>
                <c:pt idx="1">
                  <c:v>0.17100000000000001</c:v>
                </c:pt>
                <c:pt idx="2">
                  <c:v>0.29399999999999998</c:v>
                </c:pt>
                <c:pt idx="3">
                  <c:v>0.50600000000000001</c:v>
                </c:pt>
              </c:numCache>
            </c:numRef>
          </c:val>
          <c:extLst>
            <c:ext xmlns:c16="http://schemas.microsoft.com/office/drawing/2014/chart" uri="{C3380CC4-5D6E-409C-BE32-E72D297353CC}">
              <c16:uniqueId val="{00000001-CEBE-404D-BEFF-44CF213EAE21}"/>
            </c:ext>
          </c:extLst>
        </c:ser>
        <c:dLbls>
          <c:showLegendKey val="0"/>
          <c:showVal val="0"/>
          <c:showCatName val="0"/>
          <c:showSerName val="0"/>
          <c:showPercent val="0"/>
          <c:showBubbleSize val="0"/>
        </c:dLbls>
        <c:gapWidth val="219"/>
        <c:overlap val="-27"/>
        <c:axId val="830578560"/>
        <c:axId val="830577600"/>
      </c:barChart>
      <c:catAx>
        <c:axId val="83057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77600"/>
        <c:crosses val="autoZero"/>
        <c:auto val="1"/>
        <c:lblAlgn val="ctr"/>
        <c:lblOffset val="100"/>
        <c:noMultiLvlLbl val="0"/>
      </c:catAx>
      <c:valAx>
        <c:axId val="83057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7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[Book1.xlsx]pivot_4!PivotTable4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pivot_4!$B$3</c:f>
              <c:strCache>
                <c:ptCount val="1"/>
                <c:pt idx="0">
                  <c:v>Average of Active%</c:v>
                </c:pt>
              </c:strCache>
            </c:strRef>
          </c:tx>
          <c:spPr>
            <a:solidFill>
              <a:schemeClr val="accent1"/>
            </a:solidFill>
            <a:ln>
              <a:noFill/>
            </a:ln>
            <a:effectLst/>
          </c:spPr>
          <c:invertIfNegative val="0"/>
          <c:cat>
            <c:strRef>
              <c:f>pivot_4!$A$4:$A$6</c:f>
              <c:strCache>
                <c:ptCount val="2"/>
                <c:pt idx="0">
                  <c:v>Baseline</c:v>
                </c:pt>
                <c:pt idx="1">
                  <c:v>Published</c:v>
                </c:pt>
              </c:strCache>
            </c:strRef>
          </c:cat>
          <c:val>
            <c:numRef>
              <c:f>pivot_4!$B$4:$B$6</c:f>
              <c:numCache>
                <c:formatCode>General</c:formatCode>
                <c:ptCount val="2"/>
                <c:pt idx="0">
                  <c:v>0.59</c:v>
                </c:pt>
                <c:pt idx="1">
                  <c:v>0.67633333333333334</c:v>
                </c:pt>
              </c:numCache>
            </c:numRef>
          </c:val>
          <c:extLst>
            <c:ext xmlns:c16="http://schemas.microsoft.com/office/drawing/2014/chart" uri="{C3380CC4-5D6E-409C-BE32-E72D297353CC}">
              <c16:uniqueId val="{00000000-8D59-4184-8EE4-314C9D62B511}"/>
            </c:ext>
          </c:extLst>
        </c:ser>
        <c:ser>
          <c:idx val="1"/>
          <c:order val="1"/>
          <c:tx>
            <c:strRef>
              <c:f>pivot_4!$C$3</c:f>
              <c:strCache>
                <c:ptCount val="1"/>
                <c:pt idx="0">
                  <c:v>Average of Inactive%</c:v>
                </c:pt>
              </c:strCache>
            </c:strRef>
          </c:tx>
          <c:spPr>
            <a:solidFill>
              <a:schemeClr val="accent2"/>
            </a:solidFill>
            <a:ln>
              <a:noFill/>
            </a:ln>
            <a:effectLst/>
          </c:spPr>
          <c:invertIfNegative val="0"/>
          <c:cat>
            <c:strRef>
              <c:f>pivot_4!$A$4:$A$6</c:f>
              <c:strCache>
                <c:ptCount val="2"/>
                <c:pt idx="0">
                  <c:v>Baseline</c:v>
                </c:pt>
                <c:pt idx="1">
                  <c:v>Published</c:v>
                </c:pt>
              </c:strCache>
            </c:strRef>
          </c:cat>
          <c:val>
            <c:numRef>
              <c:f>pivot_4!$C$4:$C$6</c:f>
              <c:numCache>
                <c:formatCode>General</c:formatCode>
                <c:ptCount val="2"/>
                <c:pt idx="0">
                  <c:v>0.41</c:v>
                </c:pt>
                <c:pt idx="1">
                  <c:v>0.32366666666666666</c:v>
                </c:pt>
              </c:numCache>
            </c:numRef>
          </c:val>
          <c:extLst>
            <c:ext xmlns:c16="http://schemas.microsoft.com/office/drawing/2014/chart" uri="{C3380CC4-5D6E-409C-BE32-E72D297353CC}">
              <c16:uniqueId val="{00000001-8D59-4184-8EE4-314C9D62B511}"/>
            </c:ext>
          </c:extLst>
        </c:ser>
        <c:dLbls>
          <c:showLegendKey val="0"/>
          <c:showVal val="0"/>
          <c:showCatName val="0"/>
          <c:showSerName val="0"/>
          <c:showPercent val="0"/>
          <c:showBubbleSize val="0"/>
        </c:dLbls>
        <c:gapWidth val="219"/>
        <c:overlap val="-27"/>
        <c:axId val="799637520"/>
        <c:axId val="799638480"/>
      </c:barChart>
      <c:catAx>
        <c:axId val="79963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38480"/>
        <c:crosses val="autoZero"/>
        <c:auto val="1"/>
        <c:lblAlgn val="ctr"/>
        <c:lblOffset val="100"/>
        <c:noMultiLvlLbl val="0"/>
      </c:catAx>
      <c:valAx>
        <c:axId val="799638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3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[Book1.xlsx]pivot_1!PivotTable1</c:name>
    <c:fmtId val="7"/>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sz="1800" b="1">
                <a:solidFill>
                  <a:schemeClr val="tx1"/>
                </a:solidFill>
              </a:rPr>
              <a:t>GROUP</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6"/>
          <c:spPr>
            <a:solidFill>
              <a:schemeClr val="lt1"/>
            </a:solidFill>
            <a:ln w="15875">
              <a:solidFill>
                <a:schemeClr val="accent1">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6"/>
          <c:spPr>
            <a:solidFill>
              <a:schemeClr val="lt1"/>
            </a:solidFill>
            <a:ln w="15875">
              <a:solidFill>
                <a:schemeClr val="accent1">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pivot_1!$B$3</c:f>
              <c:strCache>
                <c:ptCount val="1"/>
                <c:pt idx="0">
                  <c:v>Average of Active%</c:v>
                </c:pt>
              </c:strCache>
            </c:strRef>
          </c:tx>
          <c:spPr>
            <a:solidFill>
              <a:schemeClr val="accent1">
                <a:shade val="76000"/>
              </a:schemeClr>
            </a:solidFill>
            <a:ln>
              <a:noFill/>
            </a:ln>
            <a:effectLst/>
          </c:spPr>
          <c:invertIfNegative val="0"/>
          <c:cat>
            <c:strRef>
              <c:f>pivot_1!$A$4:$A$10</c:f>
              <c:strCache>
                <c:ptCount val="6"/>
                <c:pt idx="0">
                  <c:v>Adult Women</c:v>
                </c:pt>
                <c:pt idx="1">
                  <c:v>Healthy Young Adult</c:v>
                </c:pt>
                <c:pt idx="2">
                  <c:v>Moderate</c:v>
                </c:pt>
                <c:pt idx="3">
                  <c:v>Rural Young Adults</c:v>
                </c:pt>
                <c:pt idx="4">
                  <c:v>Students</c:v>
                </c:pt>
                <c:pt idx="5">
                  <c:v>Young Women (Low)</c:v>
                </c:pt>
              </c:strCache>
            </c:strRef>
          </c:cat>
          <c:val>
            <c:numRef>
              <c:f>pivot_1!$B$4:$B$10</c:f>
              <c:numCache>
                <c:formatCode>General</c:formatCode>
                <c:ptCount val="6"/>
                <c:pt idx="0">
                  <c:v>0.82899999999999996</c:v>
                </c:pt>
                <c:pt idx="1">
                  <c:v>0.7</c:v>
                </c:pt>
                <c:pt idx="2">
                  <c:v>0.6</c:v>
                </c:pt>
                <c:pt idx="3">
                  <c:v>0.49399999999999999</c:v>
                </c:pt>
                <c:pt idx="4">
                  <c:v>0.70599999999999996</c:v>
                </c:pt>
                <c:pt idx="5">
                  <c:v>0.47</c:v>
                </c:pt>
              </c:numCache>
            </c:numRef>
          </c:val>
          <c:extLst>
            <c:ext xmlns:c16="http://schemas.microsoft.com/office/drawing/2014/chart" uri="{C3380CC4-5D6E-409C-BE32-E72D297353CC}">
              <c16:uniqueId val="{00000000-8BA6-444D-B518-AB30B24B3304}"/>
            </c:ext>
          </c:extLst>
        </c:ser>
        <c:ser>
          <c:idx val="1"/>
          <c:order val="1"/>
          <c:tx>
            <c:strRef>
              <c:f>pivot_1!$C$3</c:f>
              <c:strCache>
                <c:ptCount val="1"/>
                <c:pt idx="0">
                  <c:v>Average of Inactive%</c:v>
                </c:pt>
              </c:strCache>
            </c:strRef>
          </c:tx>
          <c:spPr>
            <a:solidFill>
              <a:schemeClr val="accent1">
                <a:tint val="77000"/>
              </a:schemeClr>
            </a:solidFill>
            <a:ln>
              <a:noFill/>
            </a:ln>
            <a:effectLst/>
          </c:spPr>
          <c:invertIfNegative val="0"/>
          <c:cat>
            <c:strRef>
              <c:f>pivot_1!$A$4:$A$10</c:f>
              <c:strCache>
                <c:ptCount val="6"/>
                <c:pt idx="0">
                  <c:v>Adult Women</c:v>
                </c:pt>
                <c:pt idx="1">
                  <c:v>Healthy Young Adult</c:v>
                </c:pt>
                <c:pt idx="2">
                  <c:v>Moderate</c:v>
                </c:pt>
                <c:pt idx="3">
                  <c:v>Rural Young Adults</c:v>
                </c:pt>
                <c:pt idx="4">
                  <c:v>Students</c:v>
                </c:pt>
                <c:pt idx="5">
                  <c:v>Young Women (Low)</c:v>
                </c:pt>
              </c:strCache>
            </c:strRef>
          </c:cat>
          <c:val>
            <c:numRef>
              <c:f>pivot_1!$C$4:$C$10</c:f>
              <c:numCache>
                <c:formatCode>General</c:formatCode>
                <c:ptCount val="6"/>
                <c:pt idx="0">
                  <c:v>0.17100000000000001</c:v>
                </c:pt>
                <c:pt idx="1">
                  <c:v>0.3</c:v>
                </c:pt>
                <c:pt idx="2">
                  <c:v>0.4</c:v>
                </c:pt>
                <c:pt idx="3">
                  <c:v>0.50600000000000001</c:v>
                </c:pt>
                <c:pt idx="4">
                  <c:v>0.29399999999999998</c:v>
                </c:pt>
                <c:pt idx="5">
                  <c:v>0.53</c:v>
                </c:pt>
              </c:numCache>
            </c:numRef>
          </c:val>
          <c:extLst>
            <c:ext xmlns:c16="http://schemas.microsoft.com/office/drawing/2014/chart" uri="{C3380CC4-5D6E-409C-BE32-E72D297353CC}">
              <c16:uniqueId val="{00000001-8BA6-444D-B518-AB30B24B3304}"/>
            </c:ext>
          </c:extLst>
        </c:ser>
        <c:dLbls>
          <c:showLegendKey val="0"/>
          <c:showVal val="0"/>
          <c:showCatName val="0"/>
          <c:showSerName val="0"/>
          <c:showPercent val="0"/>
          <c:showBubbleSize val="0"/>
        </c:dLbls>
        <c:gapWidth val="267"/>
        <c:overlap val="-43"/>
        <c:axId val="793380592"/>
        <c:axId val="793379632"/>
      </c:barChart>
      <c:catAx>
        <c:axId val="79338059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793379632"/>
        <c:crosses val="autoZero"/>
        <c:auto val="1"/>
        <c:lblAlgn val="ctr"/>
        <c:lblOffset val="100"/>
        <c:noMultiLvlLbl val="0"/>
      </c:catAx>
      <c:valAx>
        <c:axId val="793379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3380592"/>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[Book1.xlsx]pivot_2!PivotTable2</c:name>
    <c:fmtId val="6"/>
  </c:pivotSource>
  <c:chart>
    <c:title>
      <c:tx>
        <c:rich>
          <a:bodyPr rot="0" spcFirstLastPara="1" vertOverflow="ellipsis" vert="horz" wrap="square" anchor="ctr" anchorCtr="1"/>
          <a:lstStyle/>
          <a:p>
            <a:pPr algn="ctr">
              <a:defRPr sz="1600" b="1" i="0" u="none" strike="noStrike" kern="1200" cap="none" spc="0" normalizeH="0" baseline="0">
                <a:solidFill>
                  <a:schemeClr val="dk1">
                    <a:lumMod val="50000"/>
                    <a:lumOff val="50000"/>
                  </a:schemeClr>
                </a:solidFill>
                <a:latin typeface="+mj-lt"/>
                <a:ea typeface="+mj-ea"/>
                <a:cs typeface="+mj-cs"/>
              </a:defRPr>
            </a:pPr>
            <a:r>
              <a:rPr lang="en-US" sz="1800" b="1">
                <a:solidFill>
                  <a:schemeClr val="tx1"/>
                </a:solidFill>
              </a:rPr>
              <a:t>AGE RANGE</a:t>
            </a:r>
          </a:p>
        </c:rich>
      </c:tx>
      <c:overlay val="0"/>
      <c:spPr>
        <a:noFill/>
        <a:ln>
          <a:noFill/>
        </a:ln>
        <a:effectLst/>
      </c:spPr>
      <c:txPr>
        <a:bodyPr rot="0" spcFirstLastPara="1" vertOverflow="ellipsis" vert="horz" wrap="square" anchor="ctr" anchorCtr="1"/>
        <a:lstStyle/>
        <a:p>
          <a:pPr algn="ct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pivot_2!$B$3</c:f>
              <c:strCache>
                <c:ptCount val="1"/>
                <c:pt idx="0">
                  <c:v>Average of Active%</c:v>
                </c:pt>
              </c:strCache>
            </c:strRef>
          </c:tx>
          <c:spPr>
            <a:solidFill>
              <a:schemeClr val="accent6">
                <a:shade val="76000"/>
              </a:schemeClr>
            </a:solidFill>
            <a:ln>
              <a:noFill/>
            </a:ln>
            <a:effectLst/>
          </c:spPr>
          <c:invertIfNegative val="0"/>
          <c:cat>
            <c:strRef>
              <c:f>pivot_2!$A$4:$A$8</c:f>
              <c:strCache>
                <c:ptCount val="4"/>
                <c:pt idx="0">
                  <c:v>18–22</c:v>
                </c:pt>
                <c:pt idx="1">
                  <c:v>18–30</c:v>
                </c:pt>
                <c:pt idx="2">
                  <c:v>18–49</c:v>
                </c:pt>
                <c:pt idx="3">
                  <c:v>20–30</c:v>
                </c:pt>
              </c:strCache>
            </c:strRef>
          </c:cat>
          <c:val>
            <c:numRef>
              <c:f>pivot_2!$B$4:$B$8</c:f>
              <c:numCache>
                <c:formatCode>General</c:formatCode>
                <c:ptCount val="4"/>
                <c:pt idx="0">
                  <c:v>0.70599999999999996</c:v>
                </c:pt>
                <c:pt idx="1">
                  <c:v>0.59</c:v>
                </c:pt>
                <c:pt idx="2">
                  <c:v>0.82899999999999996</c:v>
                </c:pt>
                <c:pt idx="3">
                  <c:v>0.49399999999999999</c:v>
                </c:pt>
              </c:numCache>
            </c:numRef>
          </c:val>
          <c:extLst>
            <c:ext xmlns:c16="http://schemas.microsoft.com/office/drawing/2014/chart" uri="{C3380CC4-5D6E-409C-BE32-E72D297353CC}">
              <c16:uniqueId val="{00000000-DCD8-4D72-B599-CAADC5969D38}"/>
            </c:ext>
          </c:extLst>
        </c:ser>
        <c:ser>
          <c:idx val="1"/>
          <c:order val="1"/>
          <c:tx>
            <c:strRef>
              <c:f>pivot_2!$C$3</c:f>
              <c:strCache>
                <c:ptCount val="1"/>
                <c:pt idx="0">
                  <c:v>Average of Inactive%</c:v>
                </c:pt>
              </c:strCache>
            </c:strRef>
          </c:tx>
          <c:spPr>
            <a:solidFill>
              <a:schemeClr val="accent6">
                <a:tint val="77000"/>
              </a:schemeClr>
            </a:solidFill>
            <a:ln>
              <a:noFill/>
            </a:ln>
            <a:effectLst/>
          </c:spPr>
          <c:invertIfNegative val="0"/>
          <c:cat>
            <c:strRef>
              <c:f>pivot_2!$A$4:$A$8</c:f>
              <c:strCache>
                <c:ptCount val="4"/>
                <c:pt idx="0">
                  <c:v>18–22</c:v>
                </c:pt>
                <c:pt idx="1">
                  <c:v>18–30</c:v>
                </c:pt>
                <c:pt idx="2">
                  <c:v>18–49</c:v>
                </c:pt>
                <c:pt idx="3">
                  <c:v>20–30</c:v>
                </c:pt>
              </c:strCache>
            </c:strRef>
          </c:cat>
          <c:val>
            <c:numRef>
              <c:f>pivot_2!$C$4:$C$8</c:f>
              <c:numCache>
                <c:formatCode>General</c:formatCode>
                <c:ptCount val="4"/>
                <c:pt idx="0">
                  <c:v>0.29399999999999998</c:v>
                </c:pt>
                <c:pt idx="1">
                  <c:v>0.41</c:v>
                </c:pt>
                <c:pt idx="2">
                  <c:v>0.17100000000000001</c:v>
                </c:pt>
                <c:pt idx="3">
                  <c:v>0.50600000000000001</c:v>
                </c:pt>
              </c:numCache>
            </c:numRef>
          </c:val>
          <c:extLst>
            <c:ext xmlns:c16="http://schemas.microsoft.com/office/drawing/2014/chart" uri="{C3380CC4-5D6E-409C-BE32-E72D297353CC}">
              <c16:uniqueId val="{00000001-DCD8-4D72-B599-CAADC5969D38}"/>
            </c:ext>
          </c:extLst>
        </c:ser>
        <c:dLbls>
          <c:showLegendKey val="0"/>
          <c:showVal val="0"/>
          <c:showCatName val="0"/>
          <c:showSerName val="0"/>
          <c:showPercent val="0"/>
          <c:showBubbleSize val="0"/>
        </c:dLbls>
        <c:gapWidth val="267"/>
        <c:overlap val="-43"/>
        <c:axId val="255242720"/>
        <c:axId val="885102256"/>
      </c:barChart>
      <c:catAx>
        <c:axId val="25524272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885102256"/>
        <c:crosses val="autoZero"/>
        <c:auto val="1"/>
        <c:lblAlgn val="ctr"/>
        <c:lblOffset val="100"/>
        <c:noMultiLvlLbl val="0"/>
      </c:catAx>
      <c:valAx>
        <c:axId val="885102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5242720"/>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[Book1.xlsx]pivot_3!PivotTable3</c:name>
    <c:fmtId val="4"/>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800" b="1">
                <a:solidFill>
                  <a:schemeClr val="tx1"/>
                </a:solidFill>
              </a:rPr>
              <a:t>REGION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pivot_3!$B$3</c:f>
              <c:strCache>
                <c:ptCount val="1"/>
                <c:pt idx="0">
                  <c:v>Average of Active%</c:v>
                </c:pt>
              </c:strCache>
            </c:strRef>
          </c:tx>
          <c:spPr>
            <a:solidFill>
              <a:schemeClr val="accent4">
                <a:shade val="76000"/>
              </a:schemeClr>
            </a:solidFill>
            <a:ln>
              <a:noFill/>
            </a:ln>
            <a:effectLst/>
          </c:spPr>
          <c:invertIfNegative val="0"/>
          <c:cat>
            <c:strRef>
              <c:f>pivot_3!$A$4:$A$8</c:f>
              <c:strCache>
                <c:ptCount val="4"/>
                <c:pt idx="0">
                  <c:v>—</c:v>
                </c:pt>
                <c:pt idx="1">
                  <c:v>Coastal Karnataka</c:v>
                </c:pt>
                <c:pt idx="2">
                  <c:v>Mandya</c:v>
                </c:pt>
                <c:pt idx="3">
                  <c:v>Rural Coastal Karnataka</c:v>
                </c:pt>
              </c:strCache>
            </c:strRef>
          </c:cat>
          <c:val>
            <c:numRef>
              <c:f>pivot_3!$B$4:$B$8</c:f>
              <c:numCache>
                <c:formatCode>General</c:formatCode>
                <c:ptCount val="4"/>
                <c:pt idx="0">
                  <c:v>0.59</c:v>
                </c:pt>
                <c:pt idx="1">
                  <c:v>0.82899999999999996</c:v>
                </c:pt>
                <c:pt idx="2">
                  <c:v>0.70599999999999996</c:v>
                </c:pt>
                <c:pt idx="3">
                  <c:v>0.49399999999999999</c:v>
                </c:pt>
              </c:numCache>
            </c:numRef>
          </c:val>
          <c:extLst>
            <c:ext xmlns:c16="http://schemas.microsoft.com/office/drawing/2014/chart" uri="{C3380CC4-5D6E-409C-BE32-E72D297353CC}">
              <c16:uniqueId val="{00000000-C622-4AB1-81A4-F6DFDE3E12A8}"/>
            </c:ext>
          </c:extLst>
        </c:ser>
        <c:ser>
          <c:idx val="1"/>
          <c:order val="1"/>
          <c:tx>
            <c:strRef>
              <c:f>pivot_3!$C$3</c:f>
              <c:strCache>
                <c:ptCount val="1"/>
                <c:pt idx="0">
                  <c:v>Average of Inactive%</c:v>
                </c:pt>
              </c:strCache>
            </c:strRef>
          </c:tx>
          <c:spPr>
            <a:solidFill>
              <a:schemeClr val="accent4">
                <a:tint val="77000"/>
              </a:schemeClr>
            </a:solidFill>
            <a:ln>
              <a:noFill/>
            </a:ln>
            <a:effectLst/>
          </c:spPr>
          <c:invertIfNegative val="0"/>
          <c:cat>
            <c:strRef>
              <c:f>pivot_3!$A$4:$A$8</c:f>
              <c:strCache>
                <c:ptCount val="4"/>
                <c:pt idx="0">
                  <c:v>—</c:v>
                </c:pt>
                <c:pt idx="1">
                  <c:v>Coastal Karnataka</c:v>
                </c:pt>
                <c:pt idx="2">
                  <c:v>Mandya</c:v>
                </c:pt>
                <c:pt idx="3">
                  <c:v>Rural Coastal Karnataka</c:v>
                </c:pt>
              </c:strCache>
            </c:strRef>
          </c:cat>
          <c:val>
            <c:numRef>
              <c:f>pivot_3!$C$4:$C$8</c:f>
              <c:numCache>
                <c:formatCode>General</c:formatCode>
                <c:ptCount val="4"/>
                <c:pt idx="0">
                  <c:v>0.41</c:v>
                </c:pt>
                <c:pt idx="1">
                  <c:v>0.17100000000000001</c:v>
                </c:pt>
                <c:pt idx="2">
                  <c:v>0.29399999999999998</c:v>
                </c:pt>
                <c:pt idx="3">
                  <c:v>0.50600000000000001</c:v>
                </c:pt>
              </c:numCache>
            </c:numRef>
          </c:val>
          <c:extLst>
            <c:ext xmlns:c16="http://schemas.microsoft.com/office/drawing/2014/chart" uri="{C3380CC4-5D6E-409C-BE32-E72D297353CC}">
              <c16:uniqueId val="{00000001-C622-4AB1-81A4-F6DFDE3E12A8}"/>
            </c:ext>
          </c:extLst>
        </c:ser>
        <c:dLbls>
          <c:showLegendKey val="0"/>
          <c:showVal val="0"/>
          <c:showCatName val="0"/>
          <c:showSerName val="0"/>
          <c:showPercent val="0"/>
          <c:showBubbleSize val="0"/>
        </c:dLbls>
        <c:gapWidth val="267"/>
        <c:overlap val="-43"/>
        <c:axId val="830578560"/>
        <c:axId val="830577600"/>
      </c:barChart>
      <c:catAx>
        <c:axId val="830578560"/>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830577600"/>
        <c:crosses val="autoZero"/>
        <c:auto val="1"/>
        <c:lblAlgn val="ctr"/>
        <c:lblOffset val="100"/>
        <c:noMultiLvlLbl val="0"/>
      </c:catAx>
      <c:valAx>
        <c:axId val="8305776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30578560"/>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[Book1.xlsx]pivot_4!PivotTable4</c:name>
    <c:fmtId val="5"/>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800">
                <a:solidFill>
                  <a:schemeClr val="tx1"/>
                </a:solidFill>
              </a:rPr>
              <a:t>TYPE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pivot_4!$B$3</c:f>
              <c:strCache>
                <c:ptCount val="1"/>
                <c:pt idx="0">
                  <c:v>Average of Active%</c:v>
                </c:pt>
              </c:strCache>
            </c:strRef>
          </c:tx>
          <c:spPr>
            <a:solidFill>
              <a:schemeClr val="dk1">
                <a:tint val="88500"/>
              </a:schemeClr>
            </a:solidFill>
            <a:ln>
              <a:noFill/>
            </a:ln>
            <a:effectLst/>
          </c:spPr>
          <c:invertIfNegative val="0"/>
          <c:cat>
            <c:strRef>
              <c:f>pivot_4!$A$4:$A$6</c:f>
              <c:strCache>
                <c:ptCount val="2"/>
                <c:pt idx="0">
                  <c:v>Baseline</c:v>
                </c:pt>
                <c:pt idx="1">
                  <c:v>Published</c:v>
                </c:pt>
              </c:strCache>
            </c:strRef>
          </c:cat>
          <c:val>
            <c:numRef>
              <c:f>pivot_4!$B$4:$B$6</c:f>
              <c:numCache>
                <c:formatCode>General</c:formatCode>
                <c:ptCount val="2"/>
                <c:pt idx="0">
                  <c:v>0.59</c:v>
                </c:pt>
                <c:pt idx="1">
                  <c:v>0.67633333333333334</c:v>
                </c:pt>
              </c:numCache>
            </c:numRef>
          </c:val>
          <c:extLst>
            <c:ext xmlns:c16="http://schemas.microsoft.com/office/drawing/2014/chart" uri="{C3380CC4-5D6E-409C-BE32-E72D297353CC}">
              <c16:uniqueId val="{00000000-CBAC-4AAF-AF90-B0DF43178369}"/>
            </c:ext>
          </c:extLst>
        </c:ser>
        <c:ser>
          <c:idx val="1"/>
          <c:order val="1"/>
          <c:tx>
            <c:strRef>
              <c:f>pivot_4!$C$3</c:f>
              <c:strCache>
                <c:ptCount val="1"/>
                <c:pt idx="0">
                  <c:v>Average of Inactive%</c:v>
                </c:pt>
              </c:strCache>
            </c:strRef>
          </c:tx>
          <c:spPr>
            <a:solidFill>
              <a:schemeClr val="dk1">
                <a:tint val="55000"/>
              </a:schemeClr>
            </a:solidFill>
            <a:ln>
              <a:noFill/>
            </a:ln>
            <a:effectLst/>
          </c:spPr>
          <c:invertIfNegative val="0"/>
          <c:cat>
            <c:strRef>
              <c:f>pivot_4!$A$4:$A$6</c:f>
              <c:strCache>
                <c:ptCount val="2"/>
                <c:pt idx="0">
                  <c:v>Baseline</c:v>
                </c:pt>
                <c:pt idx="1">
                  <c:v>Published</c:v>
                </c:pt>
              </c:strCache>
            </c:strRef>
          </c:cat>
          <c:val>
            <c:numRef>
              <c:f>pivot_4!$C$4:$C$6</c:f>
              <c:numCache>
                <c:formatCode>General</c:formatCode>
                <c:ptCount val="2"/>
                <c:pt idx="0">
                  <c:v>0.41</c:v>
                </c:pt>
                <c:pt idx="1">
                  <c:v>0.32366666666666666</c:v>
                </c:pt>
              </c:numCache>
            </c:numRef>
          </c:val>
          <c:extLst>
            <c:ext xmlns:c16="http://schemas.microsoft.com/office/drawing/2014/chart" uri="{C3380CC4-5D6E-409C-BE32-E72D297353CC}">
              <c16:uniqueId val="{00000001-CBAC-4AAF-AF90-B0DF43178369}"/>
            </c:ext>
          </c:extLst>
        </c:ser>
        <c:dLbls>
          <c:showLegendKey val="0"/>
          <c:showVal val="0"/>
          <c:showCatName val="0"/>
          <c:showSerName val="0"/>
          <c:showPercent val="0"/>
          <c:showBubbleSize val="0"/>
        </c:dLbls>
        <c:gapWidth val="267"/>
        <c:overlap val="-43"/>
        <c:axId val="799637520"/>
        <c:axId val="799638480"/>
      </c:barChart>
      <c:catAx>
        <c:axId val="799637520"/>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799638480"/>
        <c:crosses val="autoZero"/>
        <c:auto val="1"/>
        <c:lblAlgn val="ctr"/>
        <c:lblOffset val="100"/>
        <c:noMultiLvlLbl val="0"/>
      </c:catAx>
      <c:valAx>
        <c:axId val="7996384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9637520"/>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121920</xdr:colOff>
      <xdr:row>2</xdr:row>
      <xdr:rowOff>7620</xdr:rowOff>
    </xdr:from>
    <xdr:to>
      <xdr:col>10</xdr:col>
      <xdr:colOff>426720</xdr:colOff>
      <xdr:row>17</xdr:row>
      <xdr:rowOff>7620</xdr:rowOff>
    </xdr:to>
    <xdr:graphicFrame macro="">
      <xdr:nvGraphicFramePr>
        <xdr:cNvPr id="2" name="Chart 1">
          <a:extLst>
            <a:ext uri="{FF2B5EF4-FFF2-40B4-BE49-F238E27FC236}">
              <a16:creationId xmlns:a16="http://schemas.microsoft.com/office/drawing/2014/main" id="{473D63A0-36DE-9F3A-8744-3981BE3C0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297180</xdr:colOff>
      <xdr:row>1</xdr:row>
      <xdr:rowOff>175260</xdr:rowOff>
    </xdr:from>
    <xdr:to>
      <xdr:col>10</xdr:col>
      <xdr:colOff>601980</xdr:colOff>
      <xdr:row>16</xdr:row>
      <xdr:rowOff>175260</xdr:rowOff>
    </xdr:to>
    <xdr:graphicFrame macro="">
      <xdr:nvGraphicFramePr>
        <xdr:cNvPr id="2" name="Chart 1">
          <a:extLst>
            <a:ext uri="{FF2B5EF4-FFF2-40B4-BE49-F238E27FC236}">
              <a16:creationId xmlns:a16="http://schemas.microsoft.com/office/drawing/2014/main" id="{55764F80-B1B7-7DD2-8928-CDEBB2D43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22860</xdr:colOff>
      <xdr:row>1</xdr:row>
      <xdr:rowOff>175260</xdr:rowOff>
    </xdr:from>
    <xdr:to>
      <xdr:col>11</xdr:col>
      <xdr:colOff>327660</xdr:colOff>
      <xdr:row>16</xdr:row>
      <xdr:rowOff>175260</xdr:rowOff>
    </xdr:to>
    <xdr:graphicFrame macro="">
      <xdr:nvGraphicFramePr>
        <xdr:cNvPr id="2" name="Chart 1">
          <a:extLst>
            <a:ext uri="{FF2B5EF4-FFF2-40B4-BE49-F238E27FC236}">
              <a16:creationId xmlns:a16="http://schemas.microsoft.com/office/drawing/2014/main" id="{57638054-6511-7A51-7C8B-BDF382F30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15240</xdr:colOff>
      <xdr:row>1</xdr:row>
      <xdr:rowOff>167640</xdr:rowOff>
    </xdr:from>
    <xdr:to>
      <xdr:col>11</xdr:col>
      <xdr:colOff>320040</xdr:colOff>
      <xdr:row>16</xdr:row>
      <xdr:rowOff>167640</xdr:rowOff>
    </xdr:to>
    <xdr:graphicFrame macro="">
      <xdr:nvGraphicFramePr>
        <xdr:cNvPr id="2" name="Chart 1">
          <a:extLst>
            <a:ext uri="{FF2B5EF4-FFF2-40B4-BE49-F238E27FC236}">
              <a16:creationId xmlns:a16="http://schemas.microsoft.com/office/drawing/2014/main" id="{D8C04D79-5FCD-A5F7-2879-3ABA72CE7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3</xdr:col>
      <xdr:colOff>55668</xdr:colOff>
      <xdr:row>10</xdr:row>
      <xdr:rowOff>34177</xdr:rowOff>
    </xdr:from>
    <xdr:to>
      <xdr:col>15</xdr:col>
      <xdr:colOff>37668</xdr:colOff>
      <xdr:row>26</xdr:row>
      <xdr:rowOff>19777</xdr:rowOff>
    </xdr:to>
    <xdr:sp macro="" textlink="">
      <xdr:nvSpPr>
        <xdr:cNvPr id="3" name="Rectangle: Rounded Corners 2">
          <a:extLst>
            <a:ext uri="{FF2B5EF4-FFF2-40B4-BE49-F238E27FC236}">
              <a16:creationId xmlns:a16="http://schemas.microsoft.com/office/drawing/2014/main" id="{95E09EA3-E15A-A884-6DE3-51E2F6E42B9D}"/>
            </a:ext>
          </a:extLst>
        </xdr:cNvPr>
        <xdr:cNvSpPr/>
      </xdr:nvSpPr>
      <xdr:spPr>
        <a:xfrm>
          <a:off x="627168" y="605677"/>
          <a:ext cx="2268000" cy="900000"/>
        </a:xfrm>
        <a:prstGeom prst="roundRect">
          <a:avLst/>
        </a:prstGeom>
        <a:solidFill>
          <a:schemeClr val="bg1">
            <a:lumMod val="95000"/>
          </a:schemeClr>
        </a:soli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marL="0" indent="0" algn="ctr"/>
          <a:r>
            <a:rPr lang="en-IN" sz="1600" b="1">
              <a:solidFill>
                <a:schemeClr val="tx1"/>
              </a:solidFill>
              <a:latin typeface="+mn-lt"/>
              <a:ea typeface="+mn-ea"/>
              <a:cs typeface="+mn-cs"/>
            </a:rPr>
            <a:t>Average Active%</a:t>
          </a:r>
        </a:p>
        <a:p>
          <a:pPr marL="0" indent="0" algn="ctr"/>
          <a:r>
            <a:rPr lang="en-IN" sz="1200" b="1">
              <a:solidFill>
                <a:schemeClr val="tx1"/>
              </a:solidFill>
              <a:latin typeface="+mn-lt"/>
              <a:ea typeface="+mn-ea"/>
              <a:cs typeface="+mn-cs"/>
            </a:rPr>
            <a:t>0.633</a:t>
          </a:r>
        </a:p>
      </xdr:txBody>
    </xdr:sp>
    <xdr:clientData/>
  </xdr:twoCellAnchor>
  <xdr:twoCellAnchor editAs="absolute">
    <xdr:from>
      <xdr:col>20</xdr:col>
      <xdr:colOff>55973</xdr:colOff>
      <xdr:row>10</xdr:row>
      <xdr:rowOff>6963</xdr:rowOff>
    </xdr:from>
    <xdr:to>
      <xdr:col>32</xdr:col>
      <xdr:colOff>37973</xdr:colOff>
      <xdr:row>25</xdr:row>
      <xdr:rowOff>49713</xdr:rowOff>
    </xdr:to>
    <xdr:sp macro="" textlink="">
      <xdr:nvSpPr>
        <xdr:cNvPr id="4" name="Rectangle: Rounded Corners 3">
          <a:extLst>
            <a:ext uri="{FF2B5EF4-FFF2-40B4-BE49-F238E27FC236}">
              <a16:creationId xmlns:a16="http://schemas.microsoft.com/office/drawing/2014/main" id="{0DEB1BD8-D7E0-4A61-C24B-6E21B0DC75E0}"/>
            </a:ext>
          </a:extLst>
        </xdr:cNvPr>
        <xdr:cNvSpPr/>
      </xdr:nvSpPr>
      <xdr:spPr>
        <a:xfrm>
          <a:off x="3865973" y="578463"/>
          <a:ext cx="2268000" cy="900000"/>
        </a:xfrm>
        <a:prstGeom prst="roundRect">
          <a:avLst/>
        </a:prstGeom>
        <a:solidFill>
          <a:schemeClr val="bg1">
            <a:lumMod val="95000"/>
          </a:schemeClr>
        </a:soli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marL="0" indent="0" algn="ctr"/>
          <a:r>
            <a:rPr lang="en-IN" sz="1600" b="1">
              <a:solidFill>
                <a:schemeClr val="tx1"/>
              </a:solidFill>
              <a:latin typeface="+mn-lt"/>
              <a:ea typeface="+mn-ea"/>
              <a:cs typeface="+mn-cs"/>
            </a:rPr>
            <a:t>Average Inactive%</a:t>
          </a:r>
        </a:p>
        <a:p>
          <a:pPr marL="0" indent="0" algn="ctr"/>
          <a:r>
            <a:rPr lang="en-IN" sz="1200" b="1">
              <a:solidFill>
                <a:schemeClr val="tx1"/>
              </a:solidFill>
              <a:latin typeface="+mn-lt"/>
              <a:ea typeface="+mn-ea"/>
              <a:cs typeface="+mn-cs"/>
            </a:rPr>
            <a:t>0.366</a:t>
          </a:r>
        </a:p>
      </xdr:txBody>
    </xdr:sp>
    <xdr:clientData/>
  </xdr:twoCellAnchor>
  <xdr:twoCellAnchor editAs="absolute">
    <xdr:from>
      <xdr:col>37</xdr:col>
      <xdr:colOff>87175</xdr:colOff>
      <xdr:row>10</xdr:row>
      <xdr:rowOff>1491</xdr:rowOff>
    </xdr:from>
    <xdr:to>
      <xdr:col>49</xdr:col>
      <xdr:colOff>69175</xdr:colOff>
      <xdr:row>25</xdr:row>
      <xdr:rowOff>44241</xdr:rowOff>
    </xdr:to>
    <xdr:sp macro="" textlink="">
      <xdr:nvSpPr>
        <xdr:cNvPr id="5" name="Rectangle: Rounded Corners 4">
          <a:extLst>
            <a:ext uri="{FF2B5EF4-FFF2-40B4-BE49-F238E27FC236}">
              <a16:creationId xmlns:a16="http://schemas.microsoft.com/office/drawing/2014/main" id="{F283AAB2-8D66-2B35-35B7-9F68CF6DB8AC}"/>
            </a:ext>
          </a:extLst>
        </xdr:cNvPr>
        <xdr:cNvSpPr/>
      </xdr:nvSpPr>
      <xdr:spPr>
        <a:xfrm>
          <a:off x="7135675" y="572991"/>
          <a:ext cx="2268000" cy="900000"/>
        </a:xfrm>
        <a:prstGeom prst="roundRect">
          <a:avLst/>
        </a:prstGeom>
        <a:solidFill>
          <a:schemeClr val="bg1">
            <a:lumMod val="95000"/>
          </a:schemeClr>
        </a:soli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marL="0" indent="0" algn="ctr"/>
          <a:r>
            <a:rPr lang="en-IN" sz="1600" b="1">
              <a:solidFill>
                <a:schemeClr val="tx1"/>
              </a:solidFill>
              <a:latin typeface="+mn-lt"/>
              <a:ea typeface="+mn-ea"/>
              <a:cs typeface="+mn-cs"/>
            </a:rPr>
            <a:t>Regions Covered</a:t>
          </a:r>
        </a:p>
        <a:p>
          <a:pPr marL="0" indent="0" algn="ctr"/>
          <a:r>
            <a:rPr lang="en-IN" sz="1200" b="1">
              <a:solidFill>
                <a:schemeClr val="tx1"/>
              </a:solidFill>
              <a:latin typeface="+mn-lt"/>
              <a:ea typeface="+mn-ea"/>
              <a:cs typeface="+mn-cs"/>
            </a:rPr>
            <a:t>4 </a:t>
          </a:r>
        </a:p>
      </xdr:txBody>
    </xdr:sp>
    <xdr:clientData/>
  </xdr:twoCellAnchor>
  <xdr:twoCellAnchor editAs="absolute">
    <xdr:from>
      <xdr:col>53</xdr:col>
      <xdr:colOff>180975</xdr:colOff>
      <xdr:row>9</xdr:row>
      <xdr:rowOff>38100</xdr:rowOff>
    </xdr:from>
    <xdr:to>
      <xdr:col>65</xdr:col>
      <xdr:colOff>162975</xdr:colOff>
      <xdr:row>25</xdr:row>
      <xdr:rowOff>23700</xdr:rowOff>
    </xdr:to>
    <xdr:sp macro="" textlink="">
      <xdr:nvSpPr>
        <xdr:cNvPr id="6" name="Rectangle: Rounded Corners 5">
          <a:extLst>
            <a:ext uri="{FF2B5EF4-FFF2-40B4-BE49-F238E27FC236}">
              <a16:creationId xmlns:a16="http://schemas.microsoft.com/office/drawing/2014/main" id="{F3328AE9-2CD1-29CD-9077-BB77974C77A7}"/>
            </a:ext>
          </a:extLst>
        </xdr:cNvPr>
        <xdr:cNvSpPr/>
      </xdr:nvSpPr>
      <xdr:spPr>
        <a:xfrm>
          <a:off x="10277475" y="552450"/>
          <a:ext cx="2268000" cy="900000"/>
        </a:xfrm>
        <a:prstGeom prst="roundRect">
          <a:avLst/>
        </a:prstGeom>
        <a:solidFill>
          <a:schemeClr val="bg1">
            <a:lumMod val="95000"/>
          </a:schemeClr>
        </a:soli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marL="0" indent="0" algn="ctr"/>
          <a:r>
            <a:rPr lang="en-IN" sz="1600" b="1">
              <a:solidFill>
                <a:schemeClr val="tx1"/>
              </a:solidFill>
              <a:latin typeface="+mn-lt"/>
              <a:ea typeface="+mn-ea"/>
              <a:cs typeface="+mn-cs"/>
            </a:rPr>
            <a:t>Total Groups / Age Ranges</a:t>
          </a:r>
        </a:p>
        <a:p>
          <a:pPr marL="0" indent="0" algn="ctr"/>
          <a:r>
            <a:rPr lang="en-IN" sz="1200" b="1">
              <a:solidFill>
                <a:schemeClr val="tx1"/>
              </a:solidFill>
              <a:latin typeface="+mn-lt"/>
              <a:ea typeface="+mn-ea"/>
              <a:cs typeface="+mn-cs"/>
            </a:rPr>
            <a:t>4 </a:t>
          </a:r>
        </a:p>
        <a:p>
          <a:pPr marL="0" indent="0" algn="ctr"/>
          <a:endParaRPr lang="en-IN" sz="1200" b="1">
            <a:solidFill>
              <a:schemeClr val="tx1"/>
            </a:solidFill>
            <a:latin typeface="+mn-lt"/>
            <a:ea typeface="+mn-ea"/>
            <a:cs typeface="+mn-cs"/>
          </a:endParaRPr>
        </a:p>
      </xdr:txBody>
    </xdr:sp>
    <xdr:clientData/>
  </xdr:twoCellAnchor>
  <xdr:twoCellAnchor editAs="absolute">
    <xdr:from>
      <xdr:col>3</xdr:col>
      <xdr:colOff>38100</xdr:colOff>
      <xdr:row>28</xdr:row>
      <xdr:rowOff>14872</xdr:rowOff>
    </xdr:from>
    <xdr:to>
      <xdr:col>27</xdr:col>
      <xdr:colOff>146100</xdr:colOff>
      <xdr:row>73</xdr:row>
      <xdr:rowOff>35122</xdr:rowOff>
    </xdr:to>
    <xdr:graphicFrame macro="">
      <xdr:nvGraphicFramePr>
        <xdr:cNvPr id="8" name="Chart 7">
          <a:extLst>
            <a:ext uri="{FF2B5EF4-FFF2-40B4-BE49-F238E27FC236}">
              <a16:creationId xmlns:a16="http://schemas.microsoft.com/office/drawing/2014/main" id="{9C449E2D-EBB1-47B4-84F3-E879D77BD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28</xdr:col>
      <xdr:colOff>180975</xdr:colOff>
      <xdr:row>28</xdr:row>
      <xdr:rowOff>27071</xdr:rowOff>
    </xdr:from>
    <xdr:to>
      <xdr:col>53</xdr:col>
      <xdr:colOff>98475</xdr:colOff>
      <xdr:row>73</xdr:row>
      <xdr:rowOff>47321</xdr:rowOff>
    </xdr:to>
    <xdr:graphicFrame macro="">
      <xdr:nvGraphicFramePr>
        <xdr:cNvPr id="9" name="Chart 8">
          <a:extLst>
            <a:ext uri="{FF2B5EF4-FFF2-40B4-BE49-F238E27FC236}">
              <a16:creationId xmlns:a16="http://schemas.microsoft.com/office/drawing/2014/main" id="{D679FFAC-572A-4A56-8F94-203225005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3</xdr:col>
      <xdr:colOff>38100</xdr:colOff>
      <xdr:row>77</xdr:row>
      <xdr:rowOff>18549</xdr:rowOff>
    </xdr:from>
    <xdr:to>
      <xdr:col>27</xdr:col>
      <xdr:colOff>146100</xdr:colOff>
      <xdr:row>122</xdr:row>
      <xdr:rowOff>38799</xdr:rowOff>
    </xdr:to>
    <xdr:graphicFrame macro="">
      <xdr:nvGraphicFramePr>
        <xdr:cNvPr id="10" name="Chart 9">
          <a:extLst>
            <a:ext uri="{FF2B5EF4-FFF2-40B4-BE49-F238E27FC236}">
              <a16:creationId xmlns:a16="http://schemas.microsoft.com/office/drawing/2014/main" id="{5FA363E8-B66D-43C6-9A10-CBF5A0397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29</xdr:col>
      <xdr:colOff>0</xdr:colOff>
      <xdr:row>77</xdr:row>
      <xdr:rowOff>18549</xdr:rowOff>
    </xdr:from>
    <xdr:to>
      <xdr:col>53</xdr:col>
      <xdr:colOff>108000</xdr:colOff>
      <xdr:row>122</xdr:row>
      <xdr:rowOff>38799</xdr:rowOff>
    </xdr:to>
    <xdr:graphicFrame macro="">
      <xdr:nvGraphicFramePr>
        <xdr:cNvPr id="11" name="Chart 10">
          <a:extLst>
            <a:ext uri="{FF2B5EF4-FFF2-40B4-BE49-F238E27FC236}">
              <a16:creationId xmlns:a16="http://schemas.microsoft.com/office/drawing/2014/main" id="{93BA4C0A-32D6-4CE0-9717-9771F27AC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54</xdr:col>
      <xdr:colOff>160865</xdr:colOff>
      <xdr:row>87</xdr:row>
      <xdr:rowOff>5907</xdr:rowOff>
    </xdr:from>
    <xdr:to>
      <xdr:col>66</xdr:col>
      <xdr:colOff>34865</xdr:colOff>
      <xdr:row>102</xdr:row>
      <xdr:rowOff>12657</xdr:rowOff>
    </xdr:to>
    <mc:AlternateContent xmlns:mc="http://schemas.openxmlformats.org/markup-compatibility/2006">
      <mc:Choice xmlns:a14="http://schemas.microsoft.com/office/drawing/2010/main" Requires="a14">
        <xdr:graphicFrame macro="">
          <xdr:nvGraphicFramePr>
            <xdr:cNvPr id="12" name="Type">
              <a:extLst>
                <a:ext uri="{FF2B5EF4-FFF2-40B4-BE49-F238E27FC236}">
                  <a16:creationId xmlns:a16="http://schemas.microsoft.com/office/drawing/2014/main" id="{2894E102-DE5B-4854-A668-CD79AB02E654}"/>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10447865" y="4977957"/>
              <a:ext cx="2160000" cy="86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54</xdr:col>
      <xdr:colOff>136525</xdr:colOff>
      <xdr:row>48</xdr:row>
      <xdr:rowOff>17719</xdr:rowOff>
    </xdr:from>
    <xdr:to>
      <xdr:col>66</xdr:col>
      <xdr:colOff>9505</xdr:colOff>
      <xdr:row>63</xdr:row>
      <xdr:rowOff>24469</xdr:rowOff>
    </xdr:to>
    <mc:AlternateContent xmlns:mc="http://schemas.openxmlformats.org/markup-compatibility/2006">
      <mc:Choice xmlns:a14="http://schemas.microsoft.com/office/drawing/2010/main" Requires="a14">
        <xdr:graphicFrame macro="">
          <xdr:nvGraphicFramePr>
            <xdr:cNvPr id="13" name="Age Range">
              <a:extLst>
                <a:ext uri="{FF2B5EF4-FFF2-40B4-BE49-F238E27FC236}">
                  <a16:creationId xmlns:a16="http://schemas.microsoft.com/office/drawing/2014/main" id="{F60D33A8-D72F-4C47-867F-720B3D655C06}"/>
                </a:ext>
              </a:extLst>
            </xdr:cNvPr>
            <xdr:cNvGraphicFramePr/>
          </xdr:nvGraphicFramePr>
          <xdr:xfrm>
            <a:off x="0" y="0"/>
            <a:ext cx="0" cy="0"/>
          </xdr:xfrm>
          <a:graphic>
            <a:graphicData uri="http://schemas.microsoft.com/office/drawing/2010/slicer">
              <sle:slicer xmlns:sle="http://schemas.microsoft.com/office/drawing/2010/slicer" name="Age Range"/>
            </a:graphicData>
          </a:graphic>
        </xdr:graphicFrame>
      </mc:Choice>
      <mc:Fallback>
        <xdr:sp macro="" textlink="">
          <xdr:nvSpPr>
            <xdr:cNvPr id="0" name=""/>
            <xdr:cNvSpPr>
              <a:spLocks noTextEdit="1"/>
            </xdr:cNvSpPr>
          </xdr:nvSpPr>
          <xdr:spPr>
            <a:xfrm>
              <a:off x="10423525" y="2760919"/>
              <a:ext cx="2158980" cy="86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54</xdr:col>
      <xdr:colOff>144992</xdr:colOff>
      <xdr:row>67</xdr:row>
      <xdr:rowOff>33264</xdr:rowOff>
    </xdr:from>
    <xdr:to>
      <xdr:col>66</xdr:col>
      <xdr:colOff>18992</xdr:colOff>
      <xdr:row>82</xdr:row>
      <xdr:rowOff>40014</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4F0DE651-5438-4214-910C-D35EAF9B8AF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431992" y="3862314"/>
              <a:ext cx="2160000" cy="86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54</xdr:col>
      <xdr:colOff>156632</xdr:colOff>
      <xdr:row>106</xdr:row>
      <xdr:rowOff>42613</xdr:rowOff>
    </xdr:from>
    <xdr:to>
      <xdr:col>66</xdr:col>
      <xdr:colOff>30632</xdr:colOff>
      <xdr:row>121</xdr:row>
      <xdr:rowOff>49363</xdr:rowOff>
    </xdr:to>
    <mc:AlternateContent xmlns:mc="http://schemas.openxmlformats.org/markup-compatibility/2006">
      <mc:Choice xmlns:a14="http://schemas.microsoft.com/office/drawing/2010/main" Requires="a14">
        <xdr:graphicFrame macro="">
          <xdr:nvGraphicFramePr>
            <xdr:cNvPr id="15" name="Source / Method">
              <a:extLst>
                <a:ext uri="{FF2B5EF4-FFF2-40B4-BE49-F238E27FC236}">
                  <a16:creationId xmlns:a16="http://schemas.microsoft.com/office/drawing/2014/main" id="{D4CFCCEB-FDE8-471D-906A-E84E242041CF}"/>
                </a:ext>
              </a:extLst>
            </xdr:cNvPr>
            <xdr:cNvGraphicFramePr/>
          </xdr:nvGraphicFramePr>
          <xdr:xfrm>
            <a:off x="0" y="0"/>
            <a:ext cx="0" cy="0"/>
          </xdr:xfrm>
          <a:graphic>
            <a:graphicData uri="http://schemas.microsoft.com/office/drawing/2010/slicer">
              <sle:slicer xmlns:sle="http://schemas.microsoft.com/office/drawing/2010/slicer" name="Source / Method"/>
            </a:graphicData>
          </a:graphic>
        </xdr:graphicFrame>
      </mc:Choice>
      <mc:Fallback>
        <xdr:sp macro="" textlink="">
          <xdr:nvSpPr>
            <xdr:cNvPr id="0" name=""/>
            <xdr:cNvSpPr>
              <a:spLocks noTextEdit="1"/>
            </xdr:cNvSpPr>
          </xdr:nvSpPr>
          <xdr:spPr>
            <a:xfrm>
              <a:off x="10443632" y="6100513"/>
              <a:ext cx="2160000" cy="86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54</xdr:col>
      <xdr:colOff>147108</xdr:colOff>
      <xdr:row>28</xdr:row>
      <xdr:rowOff>52478</xdr:rowOff>
    </xdr:from>
    <xdr:to>
      <xdr:col>66</xdr:col>
      <xdr:colOff>21108</xdr:colOff>
      <xdr:row>44</xdr:row>
      <xdr:rowOff>2078</xdr:rowOff>
    </xdr:to>
    <mc:AlternateContent xmlns:mc="http://schemas.openxmlformats.org/markup-compatibility/2006">
      <mc:Choice xmlns:a14="http://schemas.microsoft.com/office/drawing/2010/main" Requires="a14">
        <xdr:graphicFrame macro="">
          <xdr:nvGraphicFramePr>
            <xdr:cNvPr id="16" name="Group">
              <a:extLst>
                <a:ext uri="{FF2B5EF4-FFF2-40B4-BE49-F238E27FC236}">
                  <a16:creationId xmlns:a16="http://schemas.microsoft.com/office/drawing/2014/main" id="{7CF698E5-724A-493E-BAE2-9B1ABB236C93}"/>
                </a:ext>
              </a:extLst>
            </xdr:cNvPr>
            <xdr:cNvGraphicFramePr/>
          </xdr:nvGraphicFramePr>
          <xdr:xfrm>
            <a:off x="0" y="0"/>
            <a:ext cx="0" cy="0"/>
          </xdr:xfrm>
          <a:graphic>
            <a:graphicData uri="http://schemas.microsoft.com/office/drawing/2010/slicer">
              <sle:slicer xmlns:sle="http://schemas.microsoft.com/office/drawing/2010/slicer" name="Group"/>
            </a:graphicData>
          </a:graphic>
        </xdr:graphicFrame>
      </mc:Choice>
      <mc:Fallback>
        <xdr:sp macro="" textlink="">
          <xdr:nvSpPr>
            <xdr:cNvPr id="0" name=""/>
            <xdr:cNvSpPr>
              <a:spLocks noTextEdit="1"/>
            </xdr:cNvSpPr>
          </xdr:nvSpPr>
          <xdr:spPr>
            <a:xfrm>
              <a:off x="10434108" y="1652678"/>
              <a:ext cx="2160000" cy="86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28575</xdr:colOff>
      <xdr:row>1</xdr:row>
      <xdr:rowOff>28575</xdr:rowOff>
    </xdr:from>
    <xdr:to>
      <xdr:col>65</xdr:col>
      <xdr:colOff>114300</xdr:colOff>
      <xdr:row>7</xdr:row>
      <xdr:rowOff>0</xdr:rowOff>
    </xdr:to>
    <xdr:sp macro="" textlink="">
      <xdr:nvSpPr>
        <xdr:cNvPr id="2" name="Rectangle: Rounded Corners 1">
          <a:extLst>
            <a:ext uri="{FF2B5EF4-FFF2-40B4-BE49-F238E27FC236}">
              <a16:creationId xmlns:a16="http://schemas.microsoft.com/office/drawing/2014/main" id="{D3D9E961-1B82-1957-F960-31498C231485}"/>
            </a:ext>
          </a:extLst>
        </xdr:cNvPr>
        <xdr:cNvSpPr/>
      </xdr:nvSpPr>
      <xdr:spPr>
        <a:xfrm>
          <a:off x="600075" y="85725"/>
          <a:ext cx="11896725" cy="31432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Physical Activity Insights Dashboard – India (Published + Baseline)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ak Raj" refreshedDate="46001.626176967591" createdVersion="8" refreshedVersion="8" minRefreshableVersion="3" recordCount="6" xr:uid="{99CDCCEF-7C43-48F6-AAB7-E34D51F8970B}">
  <cacheSource type="worksheet">
    <worksheetSource name="MasterData"/>
  </cacheSource>
  <cacheFields count="7">
    <cacheField name="Type" numFmtId="0">
      <sharedItems count="2">
        <s v="Published"/>
        <s v="Baseline"/>
      </sharedItems>
    </cacheField>
    <cacheField name="Group" numFmtId="0">
      <sharedItems count="6">
        <s v="Adult Women"/>
        <s v="Students"/>
        <s v="Rural Young Adults"/>
        <s v="Young Women (Low)"/>
        <s v="Healthy Young Adult"/>
        <s v="Moderate"/>
      </sharedItems>
    </cacheField>
    <cacheField name="Age Range" numFmtId="0">
      <sharedItems count="4">
        <s v="18–49"/>
        <s v="18–22"/>
        <s v="20–30"/>
        <s v="18–30"/>
      </sharedItems>
    </cacheField>
    <cacheField name="Region" numFmtId="0">
      <sharedItems count="4">
        <s v="Coastal Karnataka"/>
        <s v="Mandya"/>
        <s v="Rural Coastal Karnataka"/>
        <s v="—"/>
      </sharedItems>
    </cacheField>
    <cacheField name="Active%" numFmtId="0">
      <sharedItems containsSemiMixedTypes="0" containsString="0" containsNumber="1" minValue="0.47" maxValue="0.82899999999999996"/>
    </cacheField>
    <cacheField name="Inactive%" numFmtId="0">
      <sharedItems containsSemiMixedTypes="0" containsString="0" containsNumber="1" minValue="0.17100000000000001" maxValue="0.53"/>
    </cacheField>
    <cacheField name="Source / Method" numFmtId="0">
      <sharedItems count="3">
        <s v="IPAQ"/>
        <s v="GPAQ"/>
        <s v="Modeled"/>
      </sharedItems>
    </cacheField>
  </cacheFields>
  <extLst>
    <ext xmlns:x14="http://schemas.microsoft.com/office/spreadsheetml/2009/9/main" uri="{725AE2AE-9491-48be-B2B4-4EB974FC3084}">
      <x14:pivotCacheDefinition pivotCacheId="12348572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x v="0"/>
    <x v="0"/>
    <n v="0.82899999999999996"/>
    <n v="0.17100000000000001"/>
    <x v="0"/>
  </r>
  <r>
    <x v="0"/>
    <x v="1"/>
    <x v="1"/>
    <x v="1"/>
    <n v="0.70599999999999996"/>
    <n v="0.29399999999999998"/>
    <x v="1"/>
  </r>
  <r>
    <x v="0"/>
    <x v="2"/>
    <x v="2"/>
    <x v="2"/>
    <n v="0.49399999999999999"/>
    <n v="0.50600000000000001"/>
    <x v="0"/>
  </r>
  <r>
    <x v="1"/>
    <x v="3"/>
    <x v="3"/>
    <x v="3"/>
    <n v="0.47"/>
    <n v="0.53"/>
    <x v="2"/>
  </r>
  <r>
    <x v="1"/>
    <x v="4"/>
    <x v="3"/>
    <x v="3"/>
    <n v="0.7"/>
    <n v="0.3"/>
    <x v="2"/>
  </r>
  <r>
    <x v="1"/>
    <x v="5"/>
    <x v="3"/>
    <x v="3"/>
    <n v="0.6"/>
    <n v="0.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29A320-1E8E-41E8-A196-25DD5C62E37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C10" firstHeaderRow="0" firstDataRow="1" firstDataCol="1"/>
  <pivotFields count="7">
    <pivotField showAll="0">
      <items count="3">
        <item x="1"/>
        <item x="0"/>
        <item t="default"/>
      </items>
    </pivotField>
    <pivotField axis="axisRow" showAll="0">
      <items count="7">
        <item x="0"/>
        <item x="4"/>
        <item x="5"/>
        <item x="2"/>
        <item x="1"/>
        <item x="3"/>
        <item t="default"/>
      </items>
    </pivotField>
    <pivotField showAll="0">
      <items count="5">
        <item x="1"/>
        <item x="3"/>
        <item x="0"/>
        <item x="2"/>
        <item t="default"/>
      </items>
    </pivotField>
    <pivotField showAll="0">
      <items count="5">
        <item x="3"/>
        <item x="0"/>
        <item x="1"/>
        <item x="2"/>
        <item t="default"/>
      </items>
    </pivotField>
    <pivotField dataField="1" showAll="0"/>
    <pivotField dataField="1" showAll="0"/>
    <pivotField showAll="0">
      <items count="4">
        <item x="1"/>
        <item x="0"/>
        <item x="2"/>
        <item t="default"/>
      </items>
    </pivotField>
  </pivotFields>
  <rowFields count="1">
    <field x="1"/>
  </rowFields>
  <rowItems count="7">
    <i>
      <x/>
    </i>
    <i>
      <x v="1"/>
    </i>
    <i>
      <x v="2"/>
    </i>
    <i>
      <x v="3"/>
    </i>
    <i>
      <x v="4"/>
    </i>
    <i>
      <x v="5"/>
    </i>
    <i t="grand">
      <x/>
    </i>
  </rowItems>
  <colFields count="1">
    <field x="-2"/>
  </colFields>
  <colItems count="2">
    <i>
      <x/>
    </i>
    <i i="1">
      <x v="1"/>
    </i>
  </colItems>
  <dataFields count="2">
    <dataField name="Average of Active%" fld="4" subtotal="average" baseField="1" baseItem="0"/>
    <dataField name="Average of Inactive%" fld="5" subtotal="average" baseField="1"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9CBC73-4DEC-4321-9EE5-6518487A119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8" firstHeaderRow="0" firstDataRow="1" firstDataCol="1"/>
  <pivotFields count="7">
    <pivotField showAll="0">
      <items count="3">
        <item x="1"/>
        <item x="0"/>
        <item t="default"/>
      </items>
    </pivotField>
    <pivotField showAll="0">
      <items count="7">
        <item x="0"/>
        <item x="4"/>
        <item x="5"/>
        <item x="2"/>
        <item x="1"/>
        <item x="3"/>
        <item t="default"/>
      </items>
    </pivotField>
    <pivotField axis="axisRow" showAll="0">
      <items count="5">
        <item x="1"/>
        <item x="3"/>
        <item x="0"/>
        <item x="2"/>
        <item t="default"/>
      </items>
    </pivotField>
    <pivotField showAll="0">
      <items count="5">
        <item x="3"/>
        <item x="0"/>
        <item x="1"/>
        <item x="2"/>
        <item t="default"/>
      </items>
    </pivotField>
    <pivotField dataField="1" showAll="0"/>
    <pivotField dataField="1" showAll="0"/>
    <pivotField showAll="0">
      <items count="4">
        <item x="1"/>
        <item x="0"/>
        <item x="2"/>
        <item t="default"/>
      </items>
    </pivotField>
  </pivotFields>
  <rowFields count="1">
    <field x="2"/>
  </rowFields>
  <rowItems count="5">
    <i>
      <x/>
    </i>
    <i>
      <x v="1"/>
    </i>
    <i>
      <x v="2"/>
    </i>
    <i>
      <x v="3"/>
    </i>
    <i t="grand">
      <x/>
    </i>
  </rowItems>
  <colFields count="1">
    <field x="-2"/>
  </colFields>
  <colItems count="2">
    <i>
      <x/>
    </i>
    <i i="1">
      <x v="1"/>
    </i>
  </colItems>
  <dataFields count="2">
    <dataField name="Average of Active%" fld="4" subtotal="average" baseField="2" baseItem="0"/>
    <dataField name="Average of Inactive%" fld="5" subtotal="average" baseField="2" baseItem="1"/>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7F0574-D5B9-4219-8FBB-E286FFFA11B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8" firstHeaderRow="0" firstDataRow="1" firstDataCol="1" rowPageCount="1" colPageCount="1"/>
  <pivotFields count="7">
    <pivotField axis="axisPage" multipleItemSelectionAllowed="1" showAll="0">
      <items count="3">
        <item x="1"/>
        <item x="0"/>
        <item t="default"/>
      </items>
    </pivotField>
    <pivotField showAll="0">
      <items count="7">
        <item x="0"/>
        <item x="4"/>
        <item x="5"/>
        <item x="2"/>
        <item x="1"/>
        <item x="3"/>
        <item t="default"/>
      </items>
    </pivotField>
    <pivotField showAll="0">
      <items count="5">
        <item x="1"/>
        <item x="3"/>
        <item x="0"/>
        <item x="2"/>
        <item t="default"/>
      </items>
    </pivotField>
    <pivotField axis="axisRow" showAll="0">
      <items count="5">
        <item x="3"/>
        <item x="0"/>
        <item x="1"/>
        <item x="2"/>
        <item t="default"/>
      </items>
    </pivotField>
    <pivotField dataField="1" showAll="0"/>
    <pivotField dataField="1" showAll="0"/>
    <pivotField showAll="0">
      <items count="4">
        <item x="1"/>
        <item x="0"/>
        <item x="2"/>
        <item t="default"/>
      </items>
    </pivotField>
  </pivotFields>
  <rowFields count="1">
    <field x="3"/>
  </rowFields>
  <rowItems count="5">
    <i>
      <x/>
    </i>
    <i>
      <x v="1"/>
    </i>
    <i>
      <x v="2"/>
    </i>
    <i>
      <x v="3"/>
    </i>
    <i t="grand">
      <x/>
    </i>
  </rowItems>
  <colFields count="1">
    <field x="-2"/>
  </colFields>
  <colItems count="2">
    <i>
      <x/>
    </i>
    <i i="1">
      <x v="1"/>
    </i>
  </colItems>
  <pageFields count="1">
    <pageField fld="0" hier="-1"/>
  </pageFields>
  <dataFields count="2">
    <dataField name="Average of Active%" fld="4" subtotal="average" baseField="0" baseItem="0"/>
    <dataField name="Average of Inactive%" fld="5" subtotal="average"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823D05-1D98-4808-9DEF-3E2CA9611E6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6" firstHeaderRow="0" firstDataRow="1" firstDataCol="1"/>
  <pivotFields count="7">
    <pivotField axis="axisRow" showAll="0">
      <items count="3">
        <item x="1"/>
        <item x="0"/>
        <item t="default"/>
      </items>
    </pivotField>
    <pivotField showAll="0">
      <items count="7">
        <item x="0"/>
        <item x="4"/>
        <item x="5"/>
        <item x="2"/>
        <item x="1"/>
        <item x="3"/>
        <item t="default"/>
      </items>
    </pivotField>
    <pivotField showAll="0">
      <items count="5">
        <item x="1"/>
        <item x="3"/>
        <item x="0"/>
        <item x="2"/>
        <item t="default"/>
      </items>
    </pivotField>
    <pivotField showAll="0">
      <items count="5">
        <item x="3"/>
        <item x="0"/>
        <item x="1"/>
        <item x="2"/>
        <item t="default"/>
      </items>
    </pivotField>
    <pivotField dataField="1" showAll="0"/>
    <pivotField dataField="1" showAll="0"/>
    <pivotField showAll="0">
      <items count="4">
        <item x="1"/>
        <item x="0"/>
        <item x="2"/>
        <item t="default"/>
      </items>
    </pivotField>
  </pivotFields>
  <rowFields count="1">
    <field x="0"/>
  </rowFields>
  <rowItems count="3">
    <i>
      <x/>
    </i>
    <i>
      <x v="1"/>
    </i>
    <i t="grand">
      <x/>
    </i>
  </rowItems>
  <colFields count="1">
    <field x="-2"/>
  </colFields>
  <colItems count="2">
    <i>
      <x/>
    </i>
    <i i="1">
      <x v="1"/>
    </i>
  </colItems>
  <dataFields count="2">
    <dataField name="Average of Active%" fld="4" subtotal="average" baseField="0" baseItem="0"/>
    <dataField name="Average of Inactive%" fld="5" subtotal="average"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95559F6F-7EEF-4E11-874E-E6CD9A136025}" sourceName="Type">
  <pivotTables>
    <pivotTable tabId="9" name="PivotTable1"/>
    <pivotTable tabId="10" name="PivotTable2"/>
    <pivotTable tabId="11" name="PivotTable3"/>
    <pivotTable tabId="12" name="PivotTable4"/>
  </pivotTables>
  <data>
    <tabular pivotCacheId="123485725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B4F1F4FB-A66C-4F71-9818-4D89595ACFD4}" sourceName="Age Range">
  <pivotTables>
    <pivotTable tabId="9" name="PivotTable1"/>
    <pivotTable tabId="10" name="PivotTable2"/>
    <pivotTable tabId="11" name="PivotTable3"/>
    <pivotTable tabId="12" name="PivotTable4"/>
  </pivotTables>
  <data>
    <tabular pivotCacheId="1234857251">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594E66-F545-4F00-814F-F8EDA0AD1ABF}" sourceName="Region">
  <pivotTables>
    <pivotTable tabId="9" name="PivotTable1"/>
    <pivotTable tabId="10" name="PivotTable2"/>
    <pivotTable tabId="11" name="PivotTable3"/>
    <pivotTable tabId="12" name="PivotTable4"/>
  </pivotTables>
  <data>
    <tabular pivotCacheId="1234857251">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___Method" xr10:uid="{358C1470-6DB6-4735-B1AC-EA6D920CF68A}" sourceName="Source / Method">
  <pivotTables>
    <pivotTable tabId="9" name="PivotTable1"/>
    <pivotTable tabId="10" name="PivotTable2"/>
    <pivotTable tabId="11" name="PivotTable3"/>
    <pivotTable tabId="12" name="PivotTable4"/>
  </pivotTables>
  <data>
    <tabular pivotCacheId="1234857251">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p" xr10:uid="{1C0E8D17-971F-40C7-9B37-4AF66A3A3DD9}" sourceName="Group">
  <pivotTables>
    <pivotTable tabId="9" name="PivotTable1"/>
    <pivotTable tabId="10" name="PivotTable2"/>
    <pivotTable tabId="11" name="PivotTable3"/>
    <pivotTable tabId="12" name="PivotTable4"/>
  </pivotTables>
  <data>
    <tabular pivotCacheId="1234857251">
      <items count="6">
        <i x="0" s="1"/>
        <i x="4" s="1"/>
        <i x="5"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9EE70019-84E0-4790-943F-633F331A9A02}" cache="Slicer_Type" caption="Type" columnCount="3" style="SlicerStyleLight2" rowHeight="234950"/>
  <slicer name="Age Range" xr10:uid="{866AE590-E20B-4126-899C-BE486E3F2344}" cache="Slicer_Age_Range" caption="Age Range" columnCount="3" style="SlicerStyleLight2" rowHeight="234950"/>
  <slicer name="Region" xr10:uid="{5BB82F28-65C1-47FC-AAB4-CDAE9BDBAD52}" cache="Slicer_Region" caption="Region" columnCount="3" style="SlicerStyleLight2" rowHeight="234950"/>
  <slicer name="Source / Method" xr10:uid="{4D8792F0-F5C6-4F1D-9E7C-CA491A553A19}" cache="Slicer_Source___Method" caption="Source / Method" columnCount="3" style="SlicerStyleLight2" rowHeight="234950"/>
  <slicer name="Group" xr10:uid="{CDEDD57D-AF5A-4C98-BC37-C38C86B7AFB6}" cache="Slicer_Group" caption="Group" columnCount="3"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E927DA-5793-4E2B-8E17-B0BDD329B99F}" name="Table1" displayName="Table1" ref="B22:G28" totalsRowShown="0" headerRowDxfId="21" dataDxfId="19" headerRowBorderDxfId="20" tableBorderDxfId="18" totalsRowBorderDxfId="17">
  <autoFilter ref="B22:G28" xr:uid="{12E927DA-5793-4E2B-8E17-B0BDD329B99F}"/>
  <tableColumns count="6">
    <tableColumn id="1" xr3:uid="{E5393922-BD7F-4CA7-9A1F-FC717AF6813C}" name="RecordType" dataDxfId="16"/>
    <tableColumn id="2" xr3:uid="{1053B25F-DE1C-4E26-ABD3-6177069DA272}" name="Source / Baseline Label" dataDxfId="15"/>
    <tableColumn id="3" xr3:uid="{269983FC-F34F-44C6-8266-ADCD048121A6}" name="Year / Period" dataDxfId="14"/>
    <tableColumn id="4" xr3:uid="{8942CC43-647B-46E5-BE5D-67972D540212}" name="Population / AgeRange / Sample Details" dataDxfId="13"/>
    <tableColumn id="5" xr3:uid="{52743FDE-757A-4CF7-8C6B-076AAF40F9E2}" name="% Inactive (Women)" dataDxfId="12"/>
    <tableColumn id="7" xr3:uid="{BFE9CB4E-08DD-4279-875E-A2CD641B4F6F}" name="Definition / Notes" dataDxfId="1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E11D56-61A9-4483-A468-59E1354AE0F2}" name="MasterData" displayName="MasterData" ref="B4:H10" totalsRowShown="0" headerRowDxfId="10" headerRowBorderDxfId="9" tableBorderDxfId="8" totalsRowBorderDxfId="7">
  <autoFilter ref="B4:H10" xr:uid="{85E11D56-61A9-4483-A468-59E1354AE0F2}"/>
  <tableColumns count="7">
    <tableColumn id="1" xr3:uid="{8F12BD16-F600-4417-AE3D-7EC1B0F2D0F0}" name="Type" dataDxfId="6"/>
    <tableColumn id="2" xr3:uid="{767E0212-0B2D-486A-8163-D71D91CE2607}" name="Group" dataDxfId="5"/>
    <tableColumn id="3" xr3:uid="{11428CEB-F339-43A0-96BD-84A569095149}" name="Age Range" dataDxfId="4"/>
    <tableColumn id="4" xr3:uid="{C13A0F63-8189-448D-8C5F-3A6D418E8B5D}" name="Region" dataDxfId="3"/>
    <tableColumn id="5" xr3:uid="{29B362F3-D6D2-41E1-8412-4DB4D040AEAF}" name="Active%" dataDxfId="2"/>
    <tableColumn id="6" xr3:uid="{95F33163-087F-4C83-B7E8-35575BB2F9DC}" name="Inactive%" dataDxfId="1"/>
    <tableColumn id="7" xr3:uid="{B946B384-F579-439E-84D9-B8FFF672AB4A}" name="Source / Method"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researcher.manipal.edu/en/publications/a-study-to-estimate-the-level-of-physical-activity-and-perceived-/?utm_source=chatgpt.com" TargetMode="External"/><Relationship Id="rId13" Type="http://schemas.openxmlformats.org/officeDocument/2006/relationships/hyperlink" Target="https://pmc.ncbi.nlm.nih.gov/articles/PMC11155896/?utm_source=chatgpt.com" TargetMode="External"/><Relationship Id="rId3" Type="http://schemas.openxmlformats.org/officeDocument/2006/relationships/hyperlink" Target="https://ijbnpa.biomedcentral.com/articles/10.1186/1479-5868-11-26?utm_source=chatgpt.com" TargetMode="External"/><Relationship Id="rId7" Type="http://schemas.openxmlformats.org/officeDocument/2006/relationships/hyperlink" Target="https://researcher.manipal.edu/en/publications/a-study-to-estimate-the-level-of-physical-activity-and-perceived-/?utm_source=chatgpt.com" TargetMode="External"/><Relationship Id="rId12" Type="http://schemas.openxmlformats.org/officeDocument/2006/relationships/hyperlink" Target="https://www.ijcmph.com/index.php/ijcmph/article/view/12307?utm_source=chatgpt.com" TargetMode="External"/><Relationship Id="rId2" Type="http://schemas.openxmlformats.org/officeDocument/2006/relationships/hyperlink" Target="https://ijbnpa.biomedcentral.com/articles/10.1186/1479-5868-11-26?utm_source=chatgpt.com" TargetMode="External"/><Relationship Id="rId1" Type="http://schemas.openxmlformats.org/officeDocument/2006/relationships/hyperlink" Target="https://ijbnpa.biomedcentral.com/articles/10.1186/1479-5868-11-26?utm_source=chatgpt.com" TargetMode="External"/><Relationship Id="rId6" Type="http://schemas.openxmlformats.org/officeDocument/2006/relationships/hyperlink" Target="https://www.indiatoday.in/health/story/half-of-indias-population-not-physically-active-study-shows-worrying-trend-2558316-2024-06-26?utm_source=chatgpt.com" TargetMode="External"/><Relationship Id="rId11" Type="http://schemas.openxmlformats.org/officeDocument/2006/relationships/hyperlink" Target="https://www.ijcmph.com/index.php/ijcmph/article/view/12307?utm_source=chatgpt.com" TargetMode="External"/><Relationship Id="rId5" Type="http://schemas.openxmlformats.org/officeDocument/2006/relationships/hyperlink" Target="https://www.ndtv.com/india-news/half-of-all-adults-in-india-unfit-women-most-physically-inactive-study-5973649?utm_source=chatgpt.com" TargetMode="External"/><Relationship Id="rId15" Type="http://schemas.openxmlformats.org/officeDocument/2006/relationships/hyperlink" Target="https://pmc.ncbi.nlm.nih.gov/articles/PMC11155896/?utm_source=chatgpt.com" TargetMode="External"/><Relationship Id="rId10" Type="http://schemas.openxmlformats.org/officeDocument/2006/relationships/hyperlink" Target="https://www.ijcmph.com/index.php/ijcmph/article/view/12307?utm_source=chatgpt.com" TargetMode="External"/><Relationship Id="rId4" Type="http://schemas.openxmlformats.org/officeDocument/2006/relationships/hyperlink" Target="https://www.ndtv.com/india-news/half-of-all-adults-in-india-unfit-women-most-physically-inactive-study-5973649?utm_source=chatgpt.com" TargetMode="External"/><Relationship Id="rId9" Type="http://schemas.openxmlformats.org/officeDocument/2006/relationships/hyperlink" Target="https://researcher.manipal.edu/en/publications/a-study-to-estimate-the-level-of-physical-activity-and-perceived-/?utm_source=chatgpt.com" TargetMode="External"/><Relationship Id="rId14" Type="http://schemas.openxmlformats.org/officeDocument/2006/relationships/hyperlink" Target="https://pmc.ncbi.nlm.nih.gov/articles/PMC11155896/?utm_source=chatgpt.com"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C6CA9-917D-4EB8-B023-DF7124C1E362}">
  <dimension ref="B2:J19"/>
  <sheetViews>
    <sheetView zoomScaleNormal="100" workbookViewId="0">
      <selection activeCell="B4" sqref="B4:G7"/>
    </sheetView>
  </sheetViews>
  <sheetFormatPr defaultRowHeight="14.4" x14ac:dyDescent="0.3"/>
  <cols>
    <col min="2" max="7" width="18.88671875" customWidth="1"/>
    <col min="8" max="8" width="15.77734375" customWidth="1"/>
    <col min="9" max="9" width="13" customWidth="1"/>
    <col min="10" max="10" width="18.77734375" customWidth="1"/>
  </cols>
  <sheetData>
    <row r="2" spans="2:10" ht="18" x14ac:dyDescent="0.3">
      <c r="B2" s="29" t="s">
        <v>76</v>
      </c>
      <c r="C2" s="29"/>
      <c r="D2" s="29"/>
      <c r="E2" s="29"/>
      <c r="F2" s="29"/>
      <c r="G2" s="29"/>
    </row>
    <row r="4" spans="2:10" ht="72" customHeight="1" x14ac:dyDescent="0.3">
      <c r="B4" s="18" t="s">
        <v>5</v>
      </c>
      <c r="C4" s="18" t="s">
        <v>6</v>
      </c>
      <c r="D4" s="18" t="s">
        <v>7</v>
      </c>
      <c r="E4" s="18" t="s">
        <v>90</v>
      </c>
      <c r="F4" s="18" t="s">
        <v>91</v>
      </c>
      <c r="G4" s="18" t="s">
        <v>10</v>
      </c>
    </row>
    <row r="5" spans="2:10" ht="72" customHeight="1" x14ac:dyDescent="0.3">
      <c r="B5" s="4" t="s">
        <v>92</v>
      </c>
      <c r="C5" s="5" t="s">
        <v>93</v>
      </c>
      <c r="D5" s="5" t="s">
        <v>94</v>
      </c>
      <c r="E5" s="22">
        <v>0.17100000000000001</v>
      </c>
      <c r="F5" s="8">
        <v>0.82899999999999996</v>
      </c>
      <c r="G5" s="5" t="s">
        <v>95</v>
      </c>
    </row>
    <row r="6" spans="2:10" ht="72" customHeight="1" x14ac:dyDescent="0.3">
      <c r="B6" s="4" t="s">
        <v>96</v>
      </c>
      <c r="C6" s="5" t="s">
        <v>97</v>
      </c>
      <c r="D6" s="5" t="s">
        <v>98</v>
      </c>
      <c r="E6" s="22">
        <v>0.29399999999999998</v>
      </c>
      <c r="F6" s="22">
        <v>0.70599999999999996</v>
      </c>
      <c r="G6" s="5" t="s">
        <v>99</v>
      </c>
    </row>
    <row r="7" spans="2:10" ht="72" customHeight="1" x14ac:dyDescent="0.3">
      <c r="B7" s="4" t="s">
        <v>100</v>
      </c>
      <c r="C7" s="5" t="s">
        <v>101</v>
      </c>
      <c r="D7" s="5" t="s">
        <v>102</v>
      </c>
      <c r="E7" s="22">
        <v>0.50600000000000001</v>
      </c>
      <c r="F7" s="4" t="s">
        <v>103</v>
      </c>
      <c r="G7" s="5" t="s">
        <v>104</v>
      </c>
    </row>
    <row r="12" spans="2:10" x14ac:dyDescent="0.3">
      <c r="H12" s="2"/>
      <c r="I12" s="2"/>
      <c r="J12" s="2"/>
    </row>
    <row r="13" spans="2:10" x14ac:dyDescent="0.3">
      <c r="H13" s="1"/>
      <c r="I13" s="6"/>
      <c r="J13" s="6"/>
    </row>
    <row r="14" spans="2:10" x14ac:dyDescent="0.3">
      <c r="H14" s="1"/>
      <c r="I14" s="6"/>
      <c r="J14" s="6"/>
    </row>
    <row r="15" spans="2:10" x14ac:dyDescent="0.3">
      <c r="H15" s="1"/>
      <c r="I15" s="6"/>
      <c r="J15" s="6"/>
    </row>
    <row r="17" spans="2:7" ht="43.2" x14ac:dyDescent="0.3">
      <c r="B17" s="3" t="s">
        <v>5</v>
      </c>
      <c r="C17" s="3" t="s">
        <v>6</v>
      </c>
      <c r="D17" s="3" t="s">
        <v>7</v>
      </c>
      <c r="E17" s="3" t="s">
        <v>8</v>
      </c>
      <c r="F17" s="3" t="s">
        <v>9</v>
      </c>
      <c r="G17" s="3" t="s">
        <v>10</v>
      </c>
    </row>
    <row r="18" spans="2:7" ht="86.4" x14ac:dyDescent="0.3">
      <c r="B18" s="4" t="s">
        <v>11</v>
      </c>
      <c r="C18" s="4" t="s">
        <v>12</v>
      </c>
      <c r="D18" s="5" t="s">
        <v>13</v>
      </c>
      <c r="E18" s="5" t="s">
        <v>14</v>
      </c>
      <c r="F18" s="8">
        <v>0.37</v>
      </c>
      <c r="G18" s="5" t="s">
        <v>15</v>
      </c>
    </row>
    <row r="19" spans="2:7" ht="100.8" x14ac:dyDescent="0.3">
      <c r="B19" s="4" t="s">
        <v>16</v>
      </c>
      <c r="C19" s="4" t="s">
        <v>17</v>
      </c>
      <c r="D19" s="5" t="s">
        <v>18</v>
      </c>
      <c r="E19" s="5" t="s">
        <v>19</v>
      </c>
      <c r="F19" s="8">
        <v>0.43</v>
      </c>
      <c r="G19" s="5" t="s">
        <v>20</v>
      </c>
    </row>
  </sheetData>
  <mergeCells count="1">
    <mergeCell ref="B2:G2"/>
  </mergeCells>
  <hyperlinks>
    <hyperlink ref="D18" r:id="rId1" tooltip="Physical activity and inactivity patterns in India – results from the ICMR-INDIAB study (Phase-1) [ICMR-INDIAB-5] | International Journal of Behavioral Nutrition and Physical Activity | Full Text" display="https://ijbnpa.biomedcentral.com/articles/10.1186/1479-5868-11-26?utm_source=chatgpt.com" xr:uid="{B604D735-8324-4926-88ED-013BABBBF6BF}"/>
    <hyperlink ref="E18" r:id="rId2" tooltip="Physical activity and inactivity patterns in India – results from the ICMR-INDIAB study (Phase-1) [ICMR-INDIAB-5] | International Journal of Behavioral Nutrition and Physical Activity | Full Text" display="https://ijbnpa.biomedcentral.com/articles/10.1186/1479-5868-11-26?utm_source=chatgpt.com" xr:uid="{70287CAC-F487-45ED-A320-79EBDE17A704}"/>
    <hyperlink ref="G18" r:id="rId3" tooltip="Physical activity and inactivity patterns in India – results from the ICMR-INDIAB study (Phase-1) [ICMR-INDIAB-5] | International Journal of Behavioral Nutrition and Physical Activity | Full Text" display="https://ijbnpa.biomedcentral.com/articles/10.1186/1479-5868-11-26?utm_source=chatgpt.com" xr:uid="{7BEE3429-78D1-471A-AD9F-A3EDED92D962}"/>
    <hyperlink ref="D19" r:id="rId4" tooltip="Half Of All Adults In India Unfit, Women Most Physically Inactive: Study" display="https://www.ndtv.com/india-news/half-of-all-adults-in-india-unfit-women-most-physically-inactive-study-5973649?utm_source=chatgpt.com" xr:uid="{4F69DDA3-5773-4138-A536-630BAC49B981}"/>
    <hyperlink ref="E19" r:id="rId5" tooltip="Half Of All Adults In India Unfit, Women Most Physically Inactive: Study" display="https://www.ndtv.com/india-news/half-of-all-adults-in-india-unfit-women-most-physically-inactive-study-5973649?utm_source=chatgpt.com" xr:uid="{095D7E75-0D25-4F58-9D1B-935407F29097}"/>
    <hyperlink ref="G19" r:id="rId6" tooltip="Half of India's population not physically active: WHO Lancet Study shows worrying trend - India Today" display="https://www.indiatoday.in/health/story/half-of-indias-population-not-physically-active-study-shows-worrying-trend-2558316-2024-06-26?utm_source=chatgpt.com" xr:uid="{AA48AFCC-869D-437E-A50B-3B3DDE713795}"/>
    <hyperlink ref="C5" r:id="rId7" tooltip="A study to estimate the level of physical activity and perceived benefits and barriers to exercise among women in coastal Karnataka - Manipal Academy of Higher Education, Manipal, India" display="https://researcher.manipal.edu/en/publications/a-study-to-estimate-the-level-of-physical-activity-and-perceived-/?utm_source=chatgpt.com" xr:uid="{2FA32A59-9BD4-4509-88B0-F38113866C1C}"/>
    <hyperlink ref="D5" r:id="rId8" tooltip="A study to estimate the level of physical activity and perceived benefits and barriers to exercise among women in coastal Karnataka - Manipal Academy of Higher Education, Manipal, India" display="https://researcher.manipal.edu/en/publications/a-study-to-estimate-the-level-of-physical-activity-and-perceived-/?utm_source=chatgpt.com" xr:uid="{DD18745F-5325-433A-98BB-02D476ED22B0}"/>
    <hyperlink ref="G5" r:id="rId9" tooltip="A study to estimate the level of physical activity and perceived benefits and barriers to exercise among women in coastal Karnataka - Manipal Academy of Higher Education, Manipal, India" display="https://researcher.manipal.edu/en/publications/a-study-to-estimate-the-level-of-physical-activity-and-perceived-/?utm_source=chatgpt.com" xr:uid="{0DF3F28A-8054-49B9-B429-87851B281E94}"/>
    <hyperlink ref="C6" r:id="rId10" tooltip="Physical activity levels and junk food intake among female undergraduate students in Mandya: a cross sectional study | International Journal Of Community Medicine And Public Health" display="https://www.ijcmph.com/index.php/ijcmph/article/view/12307?utm_source=chatgpt.com" xr:uid="{E7134BFA-D397-440C-AD19-1D3675492B3F}"/>
    <hyperlink ref="D6" r:id="rId11" tooltip="Physical activity levels and junk food intake among female undergraduate students in Mandya: a cross sectional study | International Journal Of Community Medicine And Public Health" display="https://www.ijcmph.com/index.php/ijcmph/article/view/12307?utm_source=chatgpt.com" xr:uid="{4C201414-42A1-4DFE-BEA5-664CB0F56E0F}"/>
    <hyperlink ref="G6" r:id="rId12" tooltip="Physical activity levels and junk food intake among female undergraduate students in Mandya: a cross sectional study | International Journal Of Community Medicine And Public Health" display="https://www.ijcmph.com/index.php/ijcmph/article/view/12307?utm_source=chatgpt.com" xr:uid="{30611A15-112F-4B61-B942-171990A4FADB}"/>
    <hyperlink ref="C7" r:id="rId13" tooltip="IJCM_119A: A comparative cross-sectional study of dietary and physical activity pattern in a rural area of Karnataka - PMC" display="https://pmc.ncbi.nlm.nih.gov/articles/PMC11155896/?utm_source=chatgpt.com" xr:uid="{9604B35B-E22A-4F59-8C0C-7509F9345D19}"/>
    <hyperlink ref="D7" r:id="rId14" tooltip="IJCM_119A: A comparative cross-sectional study of dietary and physical activity pattern in a rural area of Karnataka - PMC" display="https://pmc.ncbi.nlm.nih.gov/articles/PMC11155896/?utm_source=chatgpt.com" xr:uid="{52735100-489D-4AD1-9C4C-D86069C372D2}"/>
    <hyperlink ref="G7" r:id="rId15" tooltip="IJCM_119A: A comparative cross-sectional study of dietary and physical activity pattern in a rural area of Karnataka - PMC" display="https://pmc.ncbi.nlm.nih.gov/articles/PMC11155896/?utm_source=chatgpt.com" xr:uid="{85EC94A7-7495-42FF-BF0E-69BA2ABB242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22757-5EA2-4843-9569-424024D5A844}">
  <dimension ref="B2:E7"/>
  <sheetViews>
    <sheetView workbookViewId="0">
      <selection activeCell="H6" sqref="H6"/>
    </sheetView>
  </sheetViews>
  <sheetFormatPr defaultRowHeight="14.4" x14ac:dyDescent="0.3"/>
  <cols>
    <col min="2" max="5" width="18.88671875" customWidth="1"/>
  </cols>
  <sheetData>
    <row r="2" spans="2:5" ht="18" x14ac:dyDescent="0.3">
      <c r="B2" s="29" t="s">
        <v>75</v>
      </c>
      <c r="C2" s="29"/>
      <c r="D2" s="29"/>
      <c r="E2" s="29"/>
    </row>
    <row r="4" spans="2:5" ht="72" customHeight="1" x14ac:dyDescent="0.3">
      <c r="B4" s="18" t="s">
        <v>21</v>
      </c>
      <c r="C4" s="18" t="s">
        <v>1</v>
      </c>
      <c r="D4" s="18" t="s">
        <v>22</v>
      </c>
      <c r="E4" s="18" t="s">
        <v>23</v>
      </c>
    </row>
    <row r="5" spans="2:5" ht="72" customHeight="1" x14ac:dyDescent="0.3">
      <c r="B5" s="4" t="s">
        <v>24</v>
      </c>
      <c r="C5" s="8">
        <v>0.47</v>
      </c>
      <c r="D5" s="8">
        <v>0.53</v>
      </c>
      <c r="E5" s="4" t="s">
        <v>25</v>
      </c>
    </row>
    <row r="6" spans="2:5" ht="72" customHeight="1" x14ac:dyDescent="0.3">
      <c r="B6" s="4" t="s">
        <v>26</v>
      </c>
      <c r="C6" s="8">
        <v>0.7</v>
      </c>
      <c r="D6" s="8">
        <v>0.3</v>
      </c>
      <c r="E6" s="4" t="s">
        <v>27</v>
      </c>
    </row>
    <row r="7" spans="2:5" ht="72" customHeight="1" x14ac:dyDescent="0.3">
      <c r="B7" s="4" t="s">
        <v>28</v>
      </c>
      <c r="C7" s="8">
        <v>0.6</v>
      </c>
      <c r="D7" s="8">
        <v>0.4</v>
      </c>
      <c r="E7" s="4" t="s">
        <v>29</v>
      </c>
    </row>
  </sheetData>
  <mergeCells count="1">
    <mergeCell ref="B2:E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91110-D3F8-4128-A1A9-9C6954F6F2DA}">
  <dimension ref="B2:G24"/>
  <sheetViews>
    <sheetView workbookViewId="0">
      <selection activeCell="C6" sqref="C6"/>
    </sheetView>
  </sheetViews>
  <sheetFormatPr defaultRowHeight="14.4" x14ac:dyDescent="0.3"/>
  <cols>
    <col min="2" max="6" width="18.88671875" customWidth="1"/>
  </cols>
  <sheetData>
    <row r="2" spans="2:6" ht="18" x14ac:dyDescent="0.3">
      <c r="B2" s="29" t="s">
        <v>74</v>
      </c>
      <c r="C2" s="29"/>
      <c r="D2" s="29"/>
      <c r="E2" s="29"/>
      <c r="F2" s="29"/>
    </row>
    <row r="4" spans="2:6" ht="72" customHeight="1" x14ac:dyDescent="0.3">
      <c r="B4" s="18" t="s">
        <v>110</v>
      </c>
      <c r="C4" s="18" t="s">
        <v>111</v>
      </c>
      <c r="D4" s="18" t="s">
        <v>112</v>
      </c>
      <c r="E4" s="18" t="s">
        <v>113</v>
      </c>
      <c r="F4" s="18" t="s">
        <v>114</v>
      </c>
    </row>
    <row r="5" spans="2:6" ht="72" customHeight="1" x14ac:dyDescent="0.3">
      <c r="B5" s="4" t="s">
        <v>115</v>
      </c>
      <c r="C5" s="4" t="s">
        <v>116</v>
      </c>
      <c r="D5" s="4" t="s">
        <v>117</v>
      </c>
      <c r="E5" s="4" t="s">
        <v>118</v>
      </c>
      <c r="F5" s="4" t="s">
        <v>128</v>
      </c>
    </row>
    <row r="6" spans="2:6" ht="72" customHeight="1" x14ac:dyDescent="0.3">
      <c r="B6" s="4" t="s">
        <v>119</v>
      </c>
      <c r="C6" s="4" t="s">
        <v>127</v>
      </c>
      <c r="D6" s="4" t="s">
        <v>120</v>
      </c>
      <c r="E6" s="4" t="s">
        <v>118</v>
      </c>
      <c r="F6" s="4" t="s">
        <v>129</v>
      </c>
    </row>
    <row r="7" spans="2:6" ht="72" customHeight="1" x14ac:dyDescent="0.3">
      <c r="B7" s="4" t="s">
        <v>121</v>
      </c>
      <c r="C7" s="4" t="s">
        <v>122</v>
      </c>
      <c r="D7" s="4" t="s">
        <v>123</v>
      </c>
      <c r="E7" s="4" t="s">
        <v>118</v>
      </c>
      <c r="F7" s="19" t="s">
        <v>130</v>
      </c>
    </row>
    <row r="8" spans="2:6" ht="72" customHeight="1" x14ac:dyDescent="0.3">
      <c r="B8" s="4" t="s">
        <v>124</v>
      </c>
      <c r="C8" s="4" t="s">
        <v>125</v>
      </c>
      <c r="D8" s="4" t="s">
        <v>125</v>
      </c>
      <c r="E8" s="4" t="s">
        <v>118</v>
      </c>
      <c r="F8" s="4" t="s">
        <v>126</v>
      </c>
    </row>
    <row r="9" spans="2:6" ht="72" customHeight="1" x14ac:dyDescent="0.3"/>
    <row r="10" spans="2:6" ht="72" customHeight="1" x14ac:dyDescent="0.3"/>
    <row r="18" spans="2:7" ht="57.6" x14ac:dyDescent="0.3">
      <c r="B18" s="3" t="s">
        <v>30</v>
      </c>
      <c r="C18" s="3" t="s">
        <v>31</v>
      </c>
      <c r="D18" s="3" t="s">
        <v>32</v>
      </c>
      <c r="E18" s="3" t="s">
        <v>33</v>
      </c>
      <c r="F18" s="3" t="s">
        <v>34</v>
      </c>
      <c r="G18" s="3" t="s">
        <v>35</v>
      </c>
    </row>
    <row r="19" spans="2:7" ht="144" x14ac:dyDescent="0.3">
      <c r="B19" s="4" t="s">
        <v>36</v>
      </c>
      <c r="C19" s="8">
        <v>0.47</v>
      </c>
      <c r="D19" s="4" t="s">
        <v>37</v>
      </c>
      <c r="E19" s="8">
        <v>0.43</v>
      </c>
      <c r="F19" s="4" t="s">
        <v>38</v>
      </c>
      <c r="G19" s="4" t="s">
        <v>39</v>
      </c>
    </row>
    <row r="20" spans="2:7" ht="158.4" x14ac:dyDescent="0.3">
      <c r="B20" s="4" t="s">
        <v>36</v>
      </c>
      <c r="C20" s="8">
        <v>0.47</v>
      </c>
      <c r="D20" s="4" t="s">
        <v>40</v>
      </c>
      <c r="E20" s="8">
        <v>0.37</v>
      </c>
      <c r="F20" s="4" t="s">
        <v>41</v>
      </c>
      <c r="G20" s="4" t="s">
        <v>42</v>
      </c>
    </row>
    <row r="21" spans="2:7" ht="172.8" x14ac:dyDescent="0.3">
      <c r="B21" s="4" t="s">
        <v>43</v>
      </c>
      <c r="C21" s="8">
        <v>0.7</v>
      </c>
      <c r="D21" s="4" t="s">
        <v>37</v>
      </c>
      <c r="E21" s="8">
        <v>0.43</v>
      </c>
      <c r="F21" s="4" t="s">
        <v>44</v>
      </c>
      <c r="G21" s="4" t="s">
        <v>45</v>
      </c>
    </row>
    <row r="22" spans="2:7" ht="144" x14ac:dyDescent="0.3">
      <c r="B22" s="4" t="s">
        <v>43</v>
      </c>
      <c r="C22" s="8">
        <v>0.7</v>
      </c>
      <c r="D22" s="4" t="s">
        <v>40</v>
      </c>
      <c r="E22" s="8">
        <v>0.37</v>
      </c>
      <c r="F22" s="4" t="s">
        <v>46</v>
      </c>
      <c r="G22" s="4" t="s">
        <v>47</v>
      </c>
    </row>
    <row r="23" spans="2:7" ht="129.6" x14ac:dyDescent="0.3">
      <c r="B23" s="4" t="s">
        <v>48</v>
      </c>
      <c r="C23" s="8">
        <v>0.6</v>
      </c>
      <c r="D23" s="4" t="s">
        <v>37</v>
      </c>
      <c r="E23" s="8">
        <v>0.43</v>
      </c>
      <c r="F23" s="4" t="s">
        <v>49</v>
      </c>
      <c r="G23" s="4" t="s">
        <v>50</v>
      </c>
    </row>
    <row r="24" spans="2:7" ht="115.2" x14ac:dyDescent="0.3">
      <c r="B24" s="4" t="s">
        <v>48</v>
      </c>
      <c r="C24" s="8">
        <v>0.6</v>
      </c>
      <c r="D24" s="4" t="s">
        <v>40</v>
      </c>
      <c r="E24" s="8">
        <v>0.37</v>
      </c>
      <c r="F24" s="4" t="s">
        <v>51</v>
      </c>
      <c r="G24" s="4" t="s">
        <v>52</v>
      </c>
    </row>
  </sheetData>
  <mergeCells count="1">
    <mergeCell ref="B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7CB72-32C6-43E9-A443-B1E4B6C3A932}">
  <dimension ref="B2:F28"/>
  <sheetViews>
    <sheetView topLeftCell="A4" workbookViewId="0">
      <selection activeCell="C1" sqref="C1"/>
    </sheetView>
  </sheetViews>
  <sheetFormatPr defaultRowHeight="14.4" x14ac:dyDescent="0.3"/>
  <cols>
    <col min="2" max="6" width="18.88671875" customWidth="1"/>
  </cols>
  <sheetData>
    <row r="2" spans="2:6" ht="18" x14ac:dyDescent="0.3">
      <c r="B2" s="29" t="s">
        <v>73</v>
      </c>
      <c r="C2" s="29"/>
      <c r="D2" s="29"/>
      <c r="E2" s="29"/>
      <c r="F2" s="29"/>
    </row>
    <row r="4" spans="2:6" ht="72" customHeight="1" x14ac:dyDescent="0.3">
      <c r="B4" s="18" t="s">
        <v>131</v>
      </c>
      <c r="C4" s="18" t="s">
        <v>132</v>
      </c>
      <c r="D4" s="18" t="s">
        <v>133</v>
      </c>
      <c r="E4" s="18" t="s">
        <v>134</v>
      </c>
      <c r="F4" s="18" t="s">
        <v>135</v>
      </c>
    </row>
    <row r="5" spans="2:6" ht="72" customHeight="1" x14ac:dyDescent="0.3">
      <c r="B5" s="4" t="s">
        <v>136</v>
      </c>
      <c r="C5" s="4" t="s">
        <v>137</v>
      </c>
      <c r="D5" s="4" t="s">
        <v>2</v>
      </c>
      <c r="E5" s="4" t="s">
        <v>162</v>
      </c>
      <c r="F5" s="4" t="s">
        <v>163</v>
      </c>
    </row>
    <row r="6" spans="2:6" ht="72" customHeight="1" x14ac:dyDescent="0.3">
      <c r="B6" s="4" t="s">
        <v>138</v>
      </c>
      <c r="C6" s="4" t="s">
        <v>139</v>
      </c>
      <c r="D6" s="4" t="s">
        <v>2</v>
      </c>
      <c r="E6" s="4" t="s">
        <v>164</v>
      </c>
      <c r="F6" s="4" t="s">
        <v>165</v>
      </c>
    </row>
    <row r="7" spans="2:6" ht="72" customHeight="1" x14ac:dyDescent="0.3">
      <c r="B7" s="4" t="s">
        <v>140</v>
      </c>
      <c r="C7" s="4" t="s">
        <v>141</v>
      </c>
      <c r="D7" s="4" t="s">
        <v>2</v>
      </c>
      <c r="E7" s="4" t="s">
        <v>142</v>
      </c>
      <c r="F7" s="4" t="s">
        <v>166</v>
      </c>
    </row>
    <row r="8" spans="2:6" ht="72" customHeight="1" x14ac:dyDescent="0.3">
      <c r="B8" s="4" t="s">
        <v>143</v>
      </c>
      <c r="C8" s="4" t="s">
        <v>144</v>
      </c>
      <c r="D8" s="4" t="s">
        <v>145</v>
      </c>
      <c r="E8" s="4" t="s">
        <v>167</v>
      </c>
      <c r="F8" s="4" t="s">
        <v>168</v>
      </c>
    </row>
    <row r="9" spans="2:6" ht="72" customHeight="1" x14ac:dyDescent="0.3">
      <c r="B9" s="4" t="s">
        <v>146</v>
      </c>
      <c r="C9" s="4" t="s">
        <v>147</v>
      </c>
      <c r="D9" s="4" t="s">
        <v>145</v>
      </c>
      <c r="E9" s="4" t="s">
        <v>169</v>
      </c>
      <c r="F9" s="4" t="s">
        <v>170</v>
      </c>
    </row>
    <row r="10" spans="2:6" ht="72" customHeight="1" x14ac:dyDescent="0.3">
      <c r="B10" s="4" t="s">
        <v>148</v>
      </c>
      <c r="C10" s="4" t="s">
        <v>149</v>
      </c>
      <c r="D10" s="4" t="s">
        <v>145</v>
      </c>
      <c r="E10" s="4" t="s">
        <v>150</v>
      </c>
      <c r="F10" s="4" t="s">
        <v>171</v>
      </c>
    </row>
    <row r="11" spans="2:6" ht="72" customHeight="1" x14ac:dyDescent="0.3">
      <c r="B11" s="4" t="s">
        <v>151</v>
      </c>
      <c r="C11" s="4" t="s">
        <v>152</v>
      </c>
      <c r="D11" s="4" t="s">
        <v>145</v>
      </c>
      <c r="E11" s="4" t="s">
        <v>172</v>
      </c>
      <c r="F11" s="4" t="s">
        <v>153</v>
      </c>
    </row>
    <row r="12" spans="2:6" ht="72" customHeight="1" x14ac:dyDescent="0.3">
      <c r="B12" s="4" t="s">
        <v>154</v>
      </c>
      <c r="C12" s="4" t="s">
        <v>155</v>
      </c>
      <c r="D12" s="4" t="s">
        <v>145</v>
      </c>
      <c r="E12" s="4" t="s">
        <v>173</v>
      </c>
      <c r="F12" s="4" t="s">
        <v>174</v>
      </c>
    </row>
    <row r="13" spans="2:6" ht="72" customHeight="1" x14ac:dyDescent="0.3">
      <c r="B13" s="4" t="s">
        <v>156</v>
      </c>
      <c r="C13" s="4" t="s">
        <v>157</v>
      </c>
      <c r="D13" s="4" t="s">
        <v>145</v>
      </c>
      <c r="E13" s="4" t="s">
        <v>158</v>
      </c>
      <c r="F13" s="4" t="s">
        <v>175</v>
      </c>
    </row>
    <row r="14" spans="2:6" ht="72" customHeight="1" x14ac:dyDescent="0.3">
      <c r="B14" s="4" t="s">
        <v>159</v>
      </c>
      <c r="C14" s="4" t="s">
        <v>160</v>
      </c>
      <c r="D14" s="4" t="s">
        <v>145</v>
      </c>
      <c r="E14" s="4" t="s">
        <v>176</v>
      </c>
      <c r="F14" s="4" t="s">
        <v>161</v>
      </c>
    </row>
    <row r="23" spans="2:5" ht="43.2" x14ac:dyDescent="0.3">
      <c r="B23" s="3" t="s">
        <v>53</v>
      </c>
      <c r="C23" s="3" t="s">
        <v>54</v>
      </c>
      <c r="D23" s="3" t="s">
        <v>55</v>
      </c>
      <c r="E23" s="3" t="s">
        <v>56</v>
      </c>
    </row>
    <row r="24" spans="2:5" ht="86.4" x14ac:dyDescent="0.3">
      <c r="B24" s="4" t="s">
        <v>57</v>
      </c>
      <c r="C24" s="4" t="s">
        <v>58</v>
      </c>
      <c r="D24" s="4" t="s">
        <v>59</v>
      </c>
      <c r="E24" s="4" t="s">
        <v>4</v>
      </c>
    </row>
    <row r="25" spans="2:5" ht="86.4" x14ac:dyDescent="0.3">
      <c r="B25" s="4" t="s">
        <v>60</v>
      </c>
      <c r="C25" s="4" t="s">
        <v>61</v>
      </c>
      <c r="D25" s="4" t="s">
        <v>62</v>
      </c>
      <c r="E25" s="4" t="s">
        <v>63</v>
      </c>
    </row>
    <row r="26" spans="2:5" ht="72" x14ac:dyDescent="0.3">
      <c r="B26" s="4" t="s">
        <v>64</v>
      </c>
      <c r="C26" s="4" t="s">
        <v>65</v>
      </c>
      <c r="D26" s="4" t="s">
        <v>66</v>
      </c>
      <c r="E26" s="4" t="s">
        <v>3</v>
      </c>
    </row>
    <row r="27" spans="2:5" ht="57.6" x14ac:dyDescent="0.3">
      <c r="B27" s="4" t="s">
        <v>67</v>
      </c>
      <c r="C27" s="4" t="s">
        <v>68</v>
      </c>
      <c r="D27" s="4" t="s">
        <v>69</v>
      </c>
      <c r="E27" s="4" t="s">
        <v>4</v>
      </c>
    </row>
    <row r="28" spans="2:5" ht="57.6" x14ac:dyDescent="0.3">
      <c r="B28" s="4" t="s">
        <v>70</v>
      </c>
      <c r="C28" s="4" t="s">
        <v>71</v>
      </c>
      <c r="D28" s="4" t="s">
        <v>72</v>
      </c>
      <c r="E28" s="4" t="s">
        <v>63</v>
      </c>
    </row>
  </sheetData>
  <mergeCells count="1">
    <mergeCell ref="B2: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046DF-60B1-4DF2-8BC3-A593275F1FF0}">
  <dimension ref="B2:T29"/>
  <sheetViews>
    <sheetView zoomScale="70" zoomScaleNormal="70" workbookViewId="0">
      <selection activeCell="K8" sqref="K8"/>
    </sheetView>
  </sheetViews>
  <sheetFormatPr defaultRowHeight="14.4" x14ac:dyDescent="0.3"/>
  <cols>
    <col min="2" max="8" width="18.88671875" customWidth="1"/>
    <col min="9" max="9" width="12.109375" customWidth="1"/>
    <col min="10" max="10" width="18.21875" bestFit="1" customWidth="1"/>
    <col min="13" max="13" width="13.6640625" customWidth="1"/>
  </cols>
  <sheetData>
    <row r="2" spans="2:20" ht="35.4" customHeight="1" x14ac:dyDescent="0.3">
      <c r="B2" s="29" t="s">
        <v>77</v>
      </c>
      <c r="C2" s="29"/>
      <c r="D2" s="29"/>
      <c r="E2" s="29"/>
      <c r="F2" s="29"/>
      <c r="G2" s="29"/>
      <c r="H2" s="29"/>
      <c r="I2" s="21"/>
      <c r="J2" s="21"/>
    </row>
    <row r="4" spans="2:20" s="7" customFormat="1" ht="72" customHeight="1" x14ac:dyDescent="0.3">
      <c r="B4" s="15" t="s">
        <v>218</v>
      </c>
      <c r="C4" s="16" t="s">
        <v>219</v>
      </c>
      <c r="D4" s="16" t="s">
        <v>0</v>
      </c>
      <c r="E4" s="16" t="s">
        <v>180</v>
      </c>
      <c r="F4" s="16" t="s">
        <v>220</v>
      </c>
      <c r="G4" s="16" t="s">
        <v>221</v>
      </c>
      <c r="H4" s="17" t="s">
        <v>222</v>
      </c>
      <c r="L4" s="2"/>
      <c r="T4" s="2"/>
    </row>
    <row r="5" spans="2:20" s="7" customFormat="1" ht="72" customHeight="1" x14ac:dyDescent="0.3">
      <c r="B5" s="24" t="s">
        <v>185</v>
      </c>
      <c r="C5" s="4" t="s">
        <v>223</v>
      </c>
      <c r="D5" s="4" t="s">
        <v>224</v>
      </c>
      <c r="E5" s="4" t="s">
        <v>187</v>
      </c>
      <c r="F5" s="8">
        <v>0.82899999999999996</v>
      </c>
      <c r="G5" s="8">
        <v>0.17100000000000001</v>
      </c>
      <c r="H5" s="10" t="s">
        <v>200</v>
      </c>
      <c r="L5" s="1"/>
      <c r="T5" s="1"/>
    </row>
    <row r="6" spans="2:20" s="7" customFormat="1" ht="72" customHeight="1" x14ac:dyDescent="0.3">
      <c r="B6" s="24" t="s">
        <v>185</v>
      </c>
      <c r="C6" s="4" t="s">
        <v>225</v>
      </c>
      <c r="D6" s="4" t="s">
        <v>226</v>
      </c>
      <c r="E6" s="4" t="s">
        <v>227</v>
      </c>
      <c r="F6" s="8">
        <v>0.70599999999999996</v>
      </c>
      <c r="G6" s="8">
        <v>0.29399999999999998</v>
      </c>
      <c r="H6" s="10" t="s">
        <v>228</v>
      </c>
      <c r="L6" s="1"/>
      <c r="T6" s="1"/>
    </row>
    <row r="7" spans="2:20" s="7" customFormat="1" ht="72" customHeight="1" x14ac:dyDescent="0.3">
      <c r="B7" s="24" t="s">
        <v>185</v>
      </c>
      <c r="C7" s="4" t="s">
        <v>229</v>
      </c>
      <c r="D7" s="4" t="s">
        <v>230</v>
      </c>
      <c r="E7" s="4" t="s">
        <v>231</v>
      </c>
      <c r="F7" s="8">
        <v>0.49399999999999999</v>
      </c>
      <c r="G7" s="8">
        <v>0.50600000000000001</v>
      </c>
      <c r="H7" s="10" t="s">
        <v>200</v>
      </c>
      <c r="L7" s="1"/>
      <c r="T7" s="1"/>
    </row>
    <row r="8" spans="2:20" s="7" customFormat="1" ht="72" customHeight="1" x14ac:dyDescent="0.3">
      <c r="B8" s="24" t="s">
        <v>83</v>
      </c>
      <c r="C8" s="4" t="s">
        <v>232</v>
      </c>
      <c r="D8" s="4" t="s">
        <v>233</v>
      </c>
      <c r="E8" s="4" t="s">
        <v>125</v>
      </c>
      <c r="F8" s="20">
        <v>0.47</v>
      </c>
      <c r="G8" s="20">
        <v>0.53</v>
      </c>
      <c r="H8" s="10" t="s">
        <v>209</v>
      </c>
      <c r="L8" s="1"/>
      <c r="T8" s="1"/>
    </row>
    <row r="9" spans="2:20" s="7" customFormat="1" ht="72" customHeight="1" x14ac:dyDescent="0.3">
      <c r="B9" s="24" t="s">
        <v>83</v>
      </c>
      <c r="C9" s="4" t="s">
        <v>234</v>
      </c>
      <c r="D9" s="4" t="s">
        <v>233</v>
      </c>
      <c r="E9" s="4" t="s">
        <v>125</v>
      </c>
      <c r="F9" s="20">
        <v>0.7</v>
      </c>
      <c r="G9" s="20">
        <v>0.3</v>
      </c>
      <c r="H9" s="10" t="s">
        <v>209</v>
      </c>
      <c r="L9" s="1"/>
      <c r="T9" s="1"/>
    </row>
    <row r="10" spans="2:20" s="7" customFormat="1" ht="72" customHeight="1" x14ac:dyDescent="0.3">
      <c r="B10" s="25" t="s">
        <v>83</v>
      </c>
      <c r="C10" s="12" t="s">
        <v>235</v>
      </c>
      <c r="D10" s="12" t="s">
        <v>233</v>
      </c>
      <c r="E10" s="12" t="s">
        <v>125</v>
      </c>
      <c r="F10" s="23">
        <v>0.6</v>
      </c>
      <c r="G10" s="23">
        <v>0.4</v>
      </c>
      <c r="H10" s="14" t="s">
        <v>209</v>
      </c>
      <c r="L10" s="1"/>
      <c r="T10" s="1"/>
    </row>
    <row r="12" spans="2:20" ht="28.8" customHeight="1" x14ac:dyDescent="0.3"/>
    <row r="13" spans="2:20" ht="28.8" customHeight="1" x14ac:dyDescent="0.3"/>
    <row r="14" spans="2:20" ht="115.2" customHeight="1" x14ac:dyDescent="0.3"/>
    <row r="15" spans="2:20" ht="115.2" customHeight="1" x14ac:dyDescent="0.3"/>
    <row r="16" spans="2:20" ht="86.4" customHeight="1" x14ac:dyDescent="0.3"/>
    <row r="17" spans="2:17" ht="72" customHeight="1" x14ac:dyDescent="0.3"/>
    <row r="18" spans="2:17" ht="72" customHeight="1" x14ac:dyDescent="0.3"/>
    <row r="22" spans="2:17" ht="43.2" x14ac:dyDescent="0.3">
      <c r="B22" s="15" t="s">
        <v>78</v>
      </c>
      <c r="C22" s="16" t="s">
        <v>81</v>
      </c>
      <c r="D22" s="16" t="s">
        <v>6</v>
      </c>
      <c r="E22" s="16" t="s">
        <v>79</v>
      </c>
      <c r="F22" s="16" t="s">
        <v>80</v>
      </c>
      <c r="G22" s="17" t="s">
        <v>10</v>
      </c>
      <c r="I22" s="18" t="s">
        <v>177</v>
      </c>
      <c r="J22" s="18" t="s">
        <v>178</v>
      </c>
      <c r="K22" s="18" t="s">
        <v>6</v>
      </c>
      <c r="L22" s="18" t="s">
        <v>179</v>
      </c>
      <c r="M22" s="18" t="s">
        <v>180</v>
      </c>
      <c r="N22" s="18" t="s">
        <v>181</v>
      </c>
      <c r="O22" s="18" t="s">
        <v>182</v>
      </c>
      <c r="P22" s="18" t="s">
        <v>183</v>
      </c>
      <c r="Q22" s="18" t="s">
        <v>184</v>
      </c>
    </row>
    <row r="23" spans="2:17" ht="144" x14ac:dyDescent="0.3">
      <c r="B23" s="9" t="s">
        <v>82</v>
      </c>
      <c r="C23" s="4" t="s">
        <v>92</v>
      </c>
      <c r="D23" s="4">
        <v>2019</v>
      </c>
      <c r="E23" s="4" t="s">
        <v>107</v>
      </c>
      <c r="F23" s="8">
        <v>0.17100000000000001</v>
      </c>
      <c r="G23" s="10" t="s">
        <v>95</v>
      </c>
      <c r="I23" s="4" t="s">
        <v>185</v>
      </c>
      <c r="J23" s="4" t="s">
        <v>115</v>
      </c>
      <c r="K23" s="4">
        <v>2019</v>
      </c>
      <c r="L23" s="4" t="s">
        <v>186</v>
      </c>
      <c r="M23" s="4" t="s">
        <v>187</v>
      </c>
      <c r="N23" s="8">
        <v>0.82899999999999996</v>
      </c>
      <c r="O23" s="8">
        <v>0.17100000000000001</v>
      </c>
      <c r="P23" s="4" t="s">
        <v>188</v>
      </c>
      <c r="Q23" s="4" t="s">
        <v>189</v>
      </c>
    </row>
    <row r="24" spans="2:17" ht="187.2" x14ac:dyDescent="0.3">
      <c r="B24" s="9" t="s">
        <v>82</v>
      </c>
      <c r="C24" s="4" t="s">
        <v>96</v>
      </c>
      <c r="D24" s="4">
        <v>2023</v>
      </c>
      <c r="E24" s="4" t="s">
        <v>108</v>
      </c>
      <c r="F24" s="8">
        <v>0.29399999999999998</v>
      </c>
      <c r="G24" s="10" t="s">
        <v>99</v>
      </c>
      <c r="I24" s="4" t="s">
        <v>185</v>
      </c>
      <c r="J24" s="4" t="s">
        <v>190</v>
      </c>
      <c r="K24" s="4" t="s">
        <v>191</v>
      </c>
      <c r="L24" s="4" t="s">
        <v>192</v>
      </c>
      <c r="M24" s="4" t="s">
        <v>193</v>
      </c>
      <c r="N24" s="4" t="s">
        <v>217</v>
      </c>
      <c r="O24" s="4" t="s">
        <v>194</v>
      </c>
      <c r="P24" s="4" t="s">
        <v>195</v>
      </c>
      <c r="Q24" s="4" t="s">
        <v>196</v>
      </c>
    </row>
    <row r="25" spans="2:17" ht="172.8" x14ac:dyDescent="0.3">
      <c r="B25" s="9" t="s">
        <v>82</v>
      </c>
      <c r="C25" s="4" t="s">
        <v>100</v>
      </c>
      <c r="D25" s="4">
        <v>2024</v>
      </c>
      <c r="E25" s="4" t="s">
        <v>109</v>
      </c>
      <c r="F25" s="8">
        <v>0.50600000000000001</v>
      </c>
      <c r="G25" s="10" t="s">
        <v>104</v>
      </c>
      <c r="I25" s="4" t="s">
        <v>185</v>
      </c>
      <c r="J25" s="4" t="s">
        <v>197</v>
      </c>
      <c r="K25" s="4">
        <v>2024</v>
      </c>
      <c r="L25" s="4" t="s">
        <v>198</v>
      </c>
      <c r="M25" s="4" t="s">
        <v>199</v>
      </c>
      <c r="N25" s="8">
        <v>0.49399999999999999</v>
      </c>
      <c r="O25" s="8">
        <v>0.50600000000000001</v>
      </c>
      <c r="P25" s="4" t="s">
        <v>200</v>
      </c>
      <c r="Q25" s="4" t="s">
        <v>201</v>
      </c>
    </row>
    <row r="26" spans="2:17" ht="144" x14ac:dyDescent="0.3">
      <c r="B26" s="9" t="s">
        <v>83</v>
      </c>
      <c r="C26" s="4" t="s">
        <v>24</v>
      </c>
      <c r="D26" s="4" t="s">
        <v>2</v>
      </c>
      <c r="E26" s="4" t="s">
        <v>84</v>
      </c>
      <c r="F26" s="8">
        <v>0.53</v>
      </c>
      <c r="G26" s="10" t="s">
        <v>85</v>
      </c>
      <c r="I26" s="4" t="s">
        <v>202</v>
      </c>
      <c r="J26" s="4" t="s">
        <v>203</v>
      </c>
      <c r="K26" s="4">
        <v>2024</v>
      </c>
      <c r="L26" s="4" t="s">
        <v>204</v>
      </c>
      <c r="M26" s="4" t="s">
        <v>199</v>
      </c>
      <c r="N26" s="8">
        <v>0.86199999999999999</v>
      </c>
      <c r="O26" s="8">
        <v>0.13800000000000001</v>
      </c>
      <c r="P26" s="4" t="s">
        <v>200</v>
      </c>
      <c r="Q26" s="4" t="s">
        <v>205</v>
      </c>
    </row>
    <row r="27" spans="2:17" ht="144" x14ac:dyDescent="0.3">
      <c r="B27" s="9" t="s">
        <v>83</v>
      </c>
      <c r="C27" s="4" t="s">
        <v>28</v>
      </c>
      <c r="D27" s="4" t="s">
        <v>2</v>
      </c>
      <c r="E27" s="4" t="s">
        <v>86</v>
      </c>
      <c r="F27" s="8">
        <v>0.4</v>
      </c>
      <c r="G27" s="10" t="s">
        <v>87</v>
      </c>
      <c r="I27" s="4" t="s">
        <v>206</v>
      </c>
      <c r="J27" s="4" t="s">
        <v>207</v>
      </c>
      <c r="K27" s="4" t="s">
        <v>125</v>
      </c>
      <c r="L27" s="4" t="s">
        <v>208</v>
      </c>
      <c r="M27" s="4" t="s">
        <v>125</v>
      </c>
      <c r="N27" s="20">
        <v>0.47</v>
      </c>
      <c r="O27" s="20">
        <v>0.53</v>
      </c>
      <c r="P27" s="4" t="s">
        <v>209</v>
      </c>
      <c r="Q27" s="4" t="s">
        <v>210</v>
      </c>
    </row>
    <row r="28" spans="2:17" ht="115.2" x14ac:dyDescent="0.3">
      <c r="B28" s="11" t="s">
        <v>83</v>
      </c>
      <c r="C28" s="12" t="s">
        <v>88</v>
      </c>
      <c r="D28" s="12" t="s">
        <v>2</v>
      </c>
      <c r="E28" s="12" t="s">
        <v>86</v>
      </c>
      <c r="F28" s="13">
        <v>0.3</v>
      </c>
      <c r="G28" s="14" t="s">
        <v>89</v>
      </c>
      <c r="I28" s="4" t="s">
        <v>206</v>
      </c>
      <c r="J28" s="4" t="s">
        <v>211</v>
      </c>
      <c r="K28" s="4" t="s">
        <v>125</v>
      </c>
      <c r="L28" s="4" t="s">
        <v>212</v>
      </c>
      <c r="M28" s="4" t="s">
        <v>125</v>
      </c>
      <c r="N28" s="20">
        <v>0.7</v>
      </c>
      <c r="O28" s="20">
        <v>0.3</v>
      </c>
      <c r="P28" s="4" t="s">
        <v>209</v>
      </c>
      <c r="Q28" s="4" t="s">
        <v>213</v>
      </c>
    </row>
    <row r="29" spans="2:17" ht="86.4" x14ac:dyDescent="0.3">
      <c r="I29" s="4" t="s">
        <v>206</v>
      </c>
      <c r="J29" s="4" t="s">
        <v>214</v>
      </c>
      <c r="K29" s="4" t="s">
        <v>125</v>
      </c>
      <c r="L29" s="4" t="s">
        <v>215</v>
      </c>
      <c r="M29" s="4" t="s">
        <v>125</v>
      </c>
      <c r="N29" s="20">
        <v>0.6</v>
      </c>
      <c r="O29" s="20">
        <v>0.4</v>
      </c>
      <c r="P29" s="4" t="s">
        <v>209</v>
      </c>
      <c r="Q29" s="4" t="s">
        <v>216</v>
      </c>
    </row>
  </sheetData>
  <mergeCells count="1">
    <mergeCell ref="B2:H2"/>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BC209-9A89-4352-BB5A-6284A0519347}">
  <dimension ref="A3:C10"/>
  <sheetViews>
    <sheetView topLeftCell="B1" workbookViewId="0">
      <selection activeCell="C4" sqref="C4"/>
    </sheetView>
  </sheetViews>
  <sheetFormatPr defaultRowHeight="14.4" x14ac:dyDescent="0.3"/>
  <cols>
    <col min="1" max="1" width="18.109375" bestFit="1" customWidth="1"/>
    <col min="2" max="2" width="17.44140625" bestFit="1" customWidth="1"/>
    <col min="3" max="3" width="18.88671875" bestFit="1" customWidth="1"/>
  </cols>
  <sheetData>
    <row r="3" spans="1:3" x14ac:dyDescent="0.3">
      <c r="A3" s="26" t="s">
        <v>105</v>
      </c>
      <c r="B3" t="s">
        <v>236</v>
      </c>
      <c r="C3" t="s">
        <v>237</v>
      </c>
    </row>
    <row r="4" spans="1:3" x14ac:dyDescent="0.3">
      <c r="A4" s="27" t="s">
        <v>223</v>
      </c>
      <c r="B4" s="32">
        <v>0.82899999999999996</v>
      </c>
      <c r="C4" s="32">
        <v>0.17100000000000001</v>
      </c>
    </row>
    <row r="5" spans="1:3" x14ac:dyDescent="0.3">
      <c r="A5" s="27" t="s">
        <v>234</v>
      </c>
      <c r="B5" s="32">
        <v>0.7</v>
      </c>
      <c r="C5" s="32">
        <v>0.3</v>
      </c>
    </row>
    <row r="6" spans="1:3" x14ac:dyDescent="0.3">
      <c r="A6" s="27" t="s">
        <v>235</v>
      </c>
      <c r="B6" s="32">
        <v>0.6</v>
      </c>
      <c r="C6" s="32">
        <v>0.4</v>
      </c>
    </row>
    <row r="7" spans="1:3" x14ac:dyDescent="0.3">
      <c r="A7" s="27" t="s">
        <v>229</v>
      </c>
      <c r="B7" s="32">
        <v>0.49399999999999999</v>
      </c>
      <c r="C7" s="32">
        <v>0.50600000000000001</v>
      </c>
    </row>
    <row r="8" spans="1:3" x14ac:dyDescent="0.3">
      <c r="A8" s="27" t="s">
        <v>225</v>
      </c>
      <c r="B8" s="32">
        <v>0.70599999999999996</v>
      </c>
      <c r="C8" s="32">
        <v>0.29399999999999998</v>
      </c>
    </row>
    <row r="9" spans="1:3" x14ac:dyDescent="0.3">
      <c r="A9" s="27" t="s">
        <v>232</v>
      </c>
      <c r="B9" s="32">
        <v>0.47</v>
      </c>
      <c r="C9" s="32">
        <v>0.53</v>
      </c>
    </row>
    <row r="10" spans="1:3" x14ac:dyDescent="0.3">
      <c r="A10" s="27" t="s">
        <v>106</v>
      </c>
      <c r="B10" s="32">
        <v>0.63316666666666677</v>
      </c>
      <c r="C10" s="32">
        <v>0.36683333333333334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596CB-29BE-4A9B-8D14-5ED3FFAF90D5}">
  <dimension ref="A3:C8"/>
  <sheetViews>
    <sheetView workbookViewId="0">
      <selection activeCell="M5" sqref="M5"/>
    </sheetView>
  </sheetViews>
  <sheetFormatPr defaultRowHeight="14.4" x14ac:dyDescent="0.3"/>
  <cols>
    <col min="1" max="1" width="12.5546875" bestFit="1" customWidth="1"/>
    <col min="2" max="2" width="17.44140625" bestFit="1" customWidth="1"/>
    <col min="3" max="3" width="18.88671875" bestFit="1" customWidth="1"/>
  </cols>
  <sheetData>
    <row r="3" spans="1:3" x14ac:dyDescent="0.3">
      <c r="A3" s="26" t="s">
        <v>105</v>
      </c>
      <c r="B3" t="s">
        <v>236</v>
      </c>
      <c r="C3" t="s">
        <v>237</v>
      </c>
    </row>
    <row r="4" spans="1:3" x14ac:dyDescent="0.3">
      <c r="A4" s="27" t="s">
        <v>226</v>
      </c>
      <c r="B4" s="32">
        <v>0.70599999999999996</v>
      </c>
      <c r="C4" s="32">
        <v>0.29399999999999998</v>
      </c>
    </row>
    <row r="5" spans="1:3" x14ac:dyDescent="0.3">
      <c r="A5" s="27" t="s">
        <v>233</v>
      </c>
      <c r="B5" s="32">
        <v>0.59</v>
      </c>
      <c r="C5" s="32">
        <v>0.41</v>
      </c>
    </row>
    <row r="6" spans="1:3" x14ac:dyDescent="0.3">
      <c r="A6" s="27" t="s">
        <v>224</v>
      </c>
      <c r="B6" s="32">
        <v>0.82899999999999996</v>
      </c>
      <c r="C6" s="32">
        <v>0.17100000000000001</v>
      </c>
    </row>
    <row r="7" spans="1:3" x14ac:dyDescent="0.3">
      <c r="A7" s="27" t="s">
        <v>230</v>
      </c>
      <c r="B7" s="32">
        <v>0.49399999999999999</v>
      </c>
      <c r="C7" s="32">
        <v>0.50600000000000001</v>
      </c>
    </row>
    <row r="8" spans="1:3" x14ac:dyDescent="0.3">
      <c r="A8" s="27" t="s">
        <v>106</v>
      </c>
      <c r="B8" s="32">
        <v>0.63316666666666654</v>
      </c>
      <c r="C8" s="32">
        <v>0.36683333333333334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05D59-35B3-4414-A09F-F06129C0461B}">
  <dimension ref="A1:C8"/>
  <sheetViews>
    <sheetView workbookViewId="0">
      <selection activeCell="B5" sqref="B5"/>
    </sheetView>
  </sheetViews>
  <sheetFormatPr defaultRowHeight="14.4" x14ac:dyDescent="0.3"/>
  <cols>
    <col min="1" max="1" width="20.6640625" bestFit="1" customWidth="1"/>
    <col min="2" max="2" width="17.44140625" bestFit="1" customWidth="1"/>
    <col min="3" max="3" width="18.88671875" bestFit="1" customWidth="1"/>
  </cols>
  <sheetData>
    <row r="1" spans="1:3" x14ac:dyDescent="0.3">
      <c r="A1" s="26" t="s">
        <v>218</v>
      </c>
      <c r="B1" t="s">
        <v>242</v>
      </c>
    </row>
    <row r="3" spans="1:3" x14ac:dyDescent="0.3">
      <c r="A3" s="26" t="s">
        <v>105</v>
      </c>
      <c r="B3" t="s">
        <v>236</v>
      </c>
      <c r="C3" t="s">
        <v>237</v>
      </c>
    </row>
    <row r="4" spans="1:3" x14ac:dyDescent="0.3">
      <c r="A4" s="27" t="s">
        <v>125</v>
      </c>
      <c r="B4" s="32">
        <v>0.59</v>
      </c>
      <c r="C4" s="32">
        <v>0.41</v>
      </c>
    </row>
    <row r="5" spans="1:3" x14ac:dyDescent="0.3">
      <c r="A5" s="27" t="s">
        <v>187</v>
      </c>
      <c r="B5" s="32">
        <v>0.82899999999999996</v>
      </c>
      <c r="C5" s="32">
        <v>0.17100000000000001</v>
      </c>
    </row>
    <row r="6" spans="1:3" x14ac:dyDescent="0.3">
      <c r="A6" s="27" t="s">
        <v>227</v>
      </c>
      <c r="B6" s="32">
        <v>0.70599999999999996</v>
      </c>
      <c r="C6" s="32">
        <v>0.29399999999999998</v>
      </c>
    </row>
    <row r="7" spans="1:3" x14ac:dyDescent="0.3">
      <c r="A7" s="27" t="s">
        <v>231</v>
      </c>
      <c r="B7" s="32">
        <v>0.49399999999999999</v>
      </c>
      <c r="C7" s="32">
        <v>0.50600000000000001</v>
      </c>
    </row>
    <row r="8" spans="1:3" x14ac:dyDescent="0.3">
      <c r="A8" s="27" t="s">
        <v>106</v>
      </c>
      <c r="B8" s="32">
        <v>0.63316666666666677</v>
      </c>
      <c r="C8" s="32">
        <v>0.36683333333333334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C20F1-6F4F-4AC8-8428-8455D2E1C6B4}">
  <dimension ref="A3:C6"/>
  <sheetViews>
    <sheetView workbookViewId="0">
      <selection activeCell="O7" sqref="O7"/>
    </sheetView>
  </sheetViews>
  <sheetFormatPr defaultRowHeight="14.4" x14ac:dyDescent="0.3"/>
  <cols>
    <col min="1" max="1" width="12.5546875" bestFit="1" customWidth="1"/>
    <col min="2" max="2" width="17.44140625" bestFit="1" customWidth="1"/>
    <col min="3" max="3" width="18.88671875" bestFit="1" customWidth="1"/>
  </cols>
  <sheetData>
    <row r="3" spans="1:3" x14ac:dyDescent="0.3">
      <c r="A3" s="26" t="s">
        <v>105</v>
      </c>
      <c r="B3" t="s">
        <v>236</v>
      </c>
      <c r="C3" t="s">
        <v>237</v>
      </c>
    </row>
    <row r="4" spans="1:3" x14ac:dyDescent="0.3">
      <c r="A4" s="27" t="s">
        <v>83</v>
      </c>
      <c r="B4" s="32">
        <v>0.59</v>
      </c>
      <c r="C4" s="32">
        <v>0.41</v>
      </c>
    </row>
    <row r="5" spans="1:3" x14ac:dyDescent="0.3">
      <c r="A5" s="27" t="s">
        <v>185</v>
      </c>
      <c r="B5" s="32">
        <v>0.67633333333333334</v>
      </c>
      <c r="C5" s="32">
        <v>0.32366666666666666</v>
      </c>
    </row>
    <row r="6" spans="1:3" x14ac:dyDescent="0.3">
      <c r="A6" s="27" t="s">
        <v>106</v>
      </c>
      <c r="B6" s="32">
        <v>0.63316666666666677</v>
      </c>
      <c r="C6" s="32">
        <v>0.36683333333333334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86207-61B6-45A1-9FFB-424FAC9B8B1E}">
  <dimension ref="A2:B5"/>
  <sheetViews>
    <sheetView workbookViewId="0">
      <selection activeCell="D3" sqref="D3"/>
    </sheetView>
  </sheetViews>
  <sheetFormatPr defaultRowHeight="14.4" x14ac:dyDescent="0.3"/>
  <cols>
    <col min="2" max="2" width="14.88671875" customWidth="1"/>
  </cols>
  <sheetData>
    <row r="2" spans="1:2" x14ac:dyDescent="0.3">
      <c r="A2" t="s">
        <v>238</v>
      </c>
      <c r="B2" s="28">
        <f>AVERAGE(MasterData[Active%])</f>
        <v>0.63316666666666666</v>
      </c>
    </row>
    <row r="3" spans="1:2" x14ac:dyDescent="0.3">
      <c r="A3" t="s">
        <v>239</v>
      </c>
      <c r="B3" s="28">
        <f>AVERAGE(MasterData[Inactive%])</f>
        <v>0.36683333333333334</v>
      </c>
    </row>
    <row r="4" spans="1:2" x14ac:dyDescent="0.3">
      <c r="A4" t="s">
        <v>240</v>
      </c>
      <c r="B4" cm="1">
        <f t="array" ref="B4">COUNTA(_xlfn.UNIQUE(_xlfn._xlws.FILTER(MasterData[Region],MasterData[Region]&lt;&gt;"")))</f>
        <v>4</v>
      </c>
    </row>
    <row r="5" spans="1:2" x14ac:dyDescent="0.3">
      <c r="A5" t="s">
        <v>241</v>
      </c>
      <c r="B5">
        <f>COUNTA(_xlfn.UNIQUE(MasterData[Age Range]))</f>
        <v>4</v>
      </c>
    </row>
  </sheetData>
  <phoneticPr fontId="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4713D-4D91-4000-B2D0-FB0429DC6DED}">
  <sheetPr>
    <pageSetUpPr autoPageBreaks="0" fitToPage="1"/>
  </sheetPr>
  <dimension ref="B1:X127"/>
  <sheetViews>
    <sheetView showGridLines="0" tabSelected="1" zoomScale="80" zoomScaleNormal="80" zoomScaleSheetLayoutView="80" workbookViewId="0">
      <selection activeCell="BO15" sqref="BO15"/>
    </sheetView>
  </sheetViews>
  <sheetFormatPr defaultColWidth="0" defaultRowHeight="4.2" customHeight="1" zeroHeight="1" x14ac:dyDescent="0.3"/>
  <cols>
    <col min="1" max="67" width="2.77734375" style="31" customWidth="1"/>
    <col min="68" max="16384" width="2.77734375" style="31" hidden="1"/>
  </cols>
  <sheetData>
    <row r="1" spans="2:17" ht="4.2" customHeight="1" x14ac:dyDescent="0.3"/>
    <row r="2" spans="2:17" ht="4.2" customHeight="1" x14ac:dyDescent="0.3">
      <c r="B2" s="30"/>
      <c r="C2" s="30"/>
      <c r="D2" s="30"/>
      <c r="E2" s="30"/>
      <c r="F2" s="30"/>
      <c r="G2" s="30"/>
      <c r="H2" s="30"/>
      <c r="I2" s="30"/>
      <c r="J2" s="30"/>
      <c r="K2" s="30"/>
      <c r="L2" s="30"/>
      <c r="M2" s="30"/>
      <c r="N2" s="30"/>
      <c r="O2" s="30"/>
      <c r="P2" s="30"/>
      <c r="Q2" s="30"/>
    </row>
    <row r="3" spans="2:17" ht="4.2" customHeight="1" x14ac:dyDescent="0.3"/>
    <row r="4" spans="2:17" ht="4.2" customHeight="1" x14ac:dyDescent="0.3"/>
    <row r="5" spans="2:17" ht="4.2" customHeight="1" x14ac:dyDescent="0.3"/>
    <row r="6" spans="2:17" ht="4.2" customHeight="1" x14ac:dyDescent="0.3"/>
    <row r="7" spans="2:17" ht="4.2" customHeight="1" x14ac:dyDescent="0.3"/>
    <row r="8" spans="2:17" ht="4.2" customHeight="1" x14ac:dyDescent="0.3"/>
    <row r="9" spans="2:17" ht="4.2" customHeight="1" x14ac:dyDescent="0.3"/>
    <row r="10" spans="2:17" ht="4.2" customHeight="1" x14ac:dyDescent="0.3"/>
    <row r="11" spans="2:17" ht="4.2" customHeight="1" x14ac:dyDescent="0.3"/>
    <row r="12" spans="2:17" ht="4.2" customHeight="1" x14ac:dyDescent="0.3"/>
    <row r="13" spans="2:17" ht="4.2" customHeight="1" x14ac:dyDescent="0.3"/>
    <row r="14" spans="2:17" ht="4.2" customHeight="1" x14ac:dyDescent="0.3"/>
    <row r="15" spans="2:17" ht="4.2" customHeight="1" x14ac:dyDescent="0.3"/>
    <row r="16" spans="2:17" ht="4.2" customHeight="1" x14ac:dyDescent="0.3"/>
    <row r="17" s="31" customFormat="1" ht="4.2" customHeight="1" x14ac:dyDescent="0.3"/>
    <row r="18" s="31" customFormat="1" ht="4.2" customHeight="1" x14ac:dyDescent="0.3"/>
    <row r="19" s="31" customFormat="1" ht="4.2" customHeight="1" x14ac:dyDescent="0.3"/>
    <row r="20" s="31" customFormat="1" ht="4.2" customHeight="1" x14ac:dyDescent="0.3"/>
    <row r="21" s="31" customFormat="1" ht="4.2" customHeight="1" x14ac:dyDescent="0.3"/>
    <row r="22" s="31" customFormat="1" ht="4.2" customHeight="1" x14ac:dyDescent="0.3"/>
    <row r="23" s="31" customFormat="1" ht="4.2" customHeight="1" x14ac:dyDescent="0.3"/>
    <row r="24" s="31" customFormat="1" ht="4.2" customHeight="1" x14ac:dyDescent="0.3"/>
    <row r="25" s="31" customFormat="1" ht="4.2" customHeight="1" x14ac:dyDescent="0.3"/>
    <row r="26" s="31" customFormat="1" ht="4.2" customHeight="1" x14ac:dyDescent="0.3"/>
    <row r="27" s="31" customFormat="1" ht="4.2" customHeight="1" x14ac:dyDescent="0.3"/>
    <row r="28" s="31" customFormat="1" ht="4.2" customHeight="1" x14ac:dyDescent="0.3"/>
    <row r="29" s="31" customFormat="1" ht="4.2" customHeight="1" x14ac:dyDescent="0.3"/>
    <row r="30" s="31" customFormat="1" ht="4.2" customHeight="1" x14ac:dyDescent="0.3"/>
    <row r="31" s="31" customFormat="1" ht="4.2" customHeight="1" x14ac:dyDescent="0.3"/>
    <row r="32" s="31" customFormat="1" ht="4.2" customHeight="1" x14ac:dyDescent="0.3"/>
    <row r="33" s="31" customFormat="1" ht="4.2" customHeight="1" x14ac:dyDescent="0.3"/>
    <row r="34" s="31" customFormat="1" ht="4.2" customHeight="1" x14ac:dyDescent="0.3"/>
    <row r="35" s="31" customFormat="1" ht="4.2" customHeight="1" x14ac:dyDescent="0.3"/>
    <row r="36" s="31" customFormat="1" ht="4.2" customHeight="1" x14ac:dyDescent="0.3"/>
    <row r="37" s="31" customFormat="1" ht="4.2" customHeight="1" x14ac:dyDescent="0.3"/>
    <row r="38" s="31" customFormat="1" ht="4.2" customHeight="1" x14ac:dyDescent="0.3"/>
    <row r="39" s="31" customFormat="1" ht="4.2" customHeight="1" x14ac:dyDescent="0.3"/>
    <row r="40" s="31" customFormat="1" ht="4.2" customHeight="1" x14ac:dyDescent="0.3"/>
    <row r="41" s="31" customFormat="1" ht="4.2" customHeight="1" x14ac:dyDescent="0.3"/>
    <row r="42" s="31" customFormat="1" ht="4.2" customHeight="1" x14ac:dyDescent="0.3"/>
    <row r="43" s="31" customFormat="1" ht="4.2" customHeight="1" x14ac:dyDescent="0.3"/>
    <row r="44" s="31" customFormat="1" ht="4.2" customHeight="1" x14ac:dyDescent="0.3"/>
    <row r="45" s="31" customFormat="1" ht="4.2" customHeight="1" x14ac:dyDescent="0.3"/>
    <row r="46" s="31" customFormat="1" ht="4.2" customHeight="1" x14ac:dyDescent="0.3"/>
    <row r="47" s="31" customFormat="1" ht="4.2" customHeight="1" x14ac:dyDescent="0.3"/>
    <row r="48" s="31" customFormat="1" ht="4.2" customHeight="1" x14ac:dyDescent="0.3"/>
    <row r="49" s="31" customFormat="1" ht="4.2" customHeight="1" x14ac:dyDescent="0.3"/>
    <row r="50" s="31" customFormat="1" ht="4.2" customHeight="1" x14ac:dyDescent="0.3"/>
    <row r="51" s="31" customFormat="1" ht="4.2" customHeight="1" x14ac:dyDescent="0.3"/>
    <row r="52" s="31" customFormat="1" ht="4.2" customHeight="1" x14ac:dyDescent="0.3"/>
    <row r="53" s="31" customFormat="1" ht="4.2" customHeight="1" x14ac:dyDescent="0.3"/>
    <row r="54" s="31" customFormat="1" ht="4.2" customHeight="1" x14ac:dyDescent="0.3"/>
    <row r="55" s="31" customFormat="1" ht="4.2" customHeight="1" x14ac:dyDescent="0.3"/>
    <row r="56" s="31" customFormat="1" ht="4.2" customHeight="1" x14ac:dyDescent="0.3"/>
    <row r="57" s="31" customFormat="1" ht="4.2" customHeight="1" x14ac:dyDescent="0.3"/>
    <row r="58" s="31" customFormat="1" ht="4.2" customHeight="1" x14ac:dyDescent="0.3"/>
    <row r="59" s="31" customFormat="1" ht="4.2" customHeight="1" x14ac:dyDescent="0.3"/>
    <row r="60" s="31" customFormat="1" ht="4.2" customHeight="1" x14ac:dyDescent="0.3"/>
    <row r="61" s="31" customFormat="1" ht="4.2" customHeight="1" x14ac:dyDescent="0.3"/>
    <row r="62" s="31" customFormat="1" ht="4.2" customHeight="1" x14ac:dyDescent="0.3"/>
    <row r="63" s="31" customFormat="1" ht="4.2" customHeight="1" x14ac:dyDescent="0.3"/>
    <row r="64" s="31" customFormat="1" ht="4.2" customHeight="1" x14ac:dyDescent="0.3"/>
    <row r="65" s="31" customFormat="1" ht="4.2" customHeight="1" x14ac:dyDescent="0.3"/>
    <row r="66" s="31" customFormat="1" ht="4.2" customHeight="1" x14ac:dyDescent="0.3"/>
    <row r="67" s="31" customFormat="1" ht="4.2" customHeight="1" x14ac:dyDescent="0.3"/>
    <row r="68" s="31" customFormat="1" ht="4.2" customHeight="1" x14ac:dyDescent="0.3"/>
    <row r="69" s="31" customFormat="1" ht="4.2" customHeight="1" x14ac:dyDescent="0.3"/>
    <row r="70" s="31" customFormat="1" ht="4.2" customHeight="1" x14ac:dyDescent="0.3"/>
    <row r="71" s="31" customFormat="1" ht="4.2" customHeight="1" x14ac:dyDescent="0.3"/>
    <row r="72" s="31" customFormat="1" ht="4.2" customHeight="1" x14ac:dyDescent="0.3"/>
    <row r="73" s="31" customFormat="1" ht="4.2" customHeight="1" x14ac:dyDescent="0.3"/>
    <row r="74" s="31" customFormat="1" ht="4.2" customHeight="1" x14ac:dyDescent="0.3"/>
    <row r="75" s="31" customFormat="1" ht="4.2" customHeight="1" x14ac:dyDescent="0.3"/>
    <row r="76" s="31" customFormat="1" ht="4.2" customHeight="1" x14ac:dyDescent="0.3"/>
    <row r="77" s="31" customFormat="1" ht="4.2" customHeight="1" x14ac:dyDescent="0.3"/>
    <row r="78" s="31" customFormat="1" ht="4.2" customHeight="1" x14ac:dyDescent="0.3"/>
    <row r="79" s="31" customFormat="1" ht="4.2" customHeight="1" x14ac:dyDescent="0.3"/>
    <row r="80" s="31" customFormat="1" ht="4.2" customHeight="1" x14ac:dyDescent="0.3"/>
    <row r="81" s="31" customFormat="1" ht="4.2" customHeight="1" x14ac:dyDescent="0.3"/>
    <row r="82" s="31" customFormat="1" ht="4.2" customHeight="1" x14ac:dyDescent="0.3"/>
    <row r="83" s="31" customFormat="1" ht="4.2" customHeight="1" x14ac:dyDescent="0.3"/>
    <row r="84" s="31" customFormat="1" ht="4.2" customHeight="1" x14ac:dyDescent="0.3"/>
    <row r="85" s="31" customFormat="1" ht="4.2" customHeight="1" x14ac:dyDescent="0.3"/>
    <row r="86" s="31" customFormat="1" ht="4.2" customHeight="1" x14ac:dyDescent="0.3"/>
    <row r="87" s="31" customFormat="1" ht="4.2" customHeight="1" x14ac:dyDescent="0.3"/>
    <row r="88" s="31" customFormat="1" ht="4.2" customHeight="1" x14ac:dyDescent="0.3"/>
    <row r="89" s="31" customFormat="1" ht="4.2" customHeight="1" x14ac:dyDescent="0.3"/>
    <row r="90" s="31" customFormat="1" ht="4.2" customHeight="1" x14ac:dyDescent="0.3"/>
    <row r="91" s="31" customFormat="1" ht="4.2" customHeight="1" x14ac:dyDescent="0.3"/>
    <row r="92" s="31" customFormat="1" ht="4.2" customHeight="1" x14ac:dyDescent="0.3"/>
    <row r="93" s="31" customFormat="1" ht="4.2" customHeight="1" x14ac:dyDescent="0.3"/>
    <row r="94" s="31" customFormat="1" ht="4.2" customHeight="1" x14ac:dyDescent="0.3"/>
    <row r="95" s="31" customFormat="1" ht="4.2" customHeight="1" x14ac:dyDescent="0.3"/>
    <row r="96" s="31" customFormat="1" ht="4.2" customHeight="1" x14ac:dyDescent="0.3"/>
    <row r="97" s="31" customFormat="1" ht="4.2" customHeight="1" x14ac:dyDescent="0.3"/>
    <row r="98" s="31" customFormat="1" ht="4.2" customHeight="1" x14ac:dyDescent="0.3"/>
    <row r="99" s="31" customFormat="1" ht="4.2" customHeight="1" x14ac:dyDescent="0.3"/>
    <row r="100" s="31" customFormat="1" ht="4.2" customHeight="1" x14ac:dyDescent="0.3"/>
    <row r="101" s="31" customFormat="1" ht="4.2" customHeight="1" x14ac:dyDescent="0.3"/>
    <row r="102" s="31" customFormat="1" ht="4.2" customHeight="1" x14ac:dyDescent="0.3"/>
    <row r="103" s="31" customFormat="1" ht="4.2" customHeight="1" x14ac:dyDescent="0.3"/>
    <row r="104" s="31" customFormat="1" ht="4.2" customHeight="1" x14ac:dyDescent="0.3"/>
    <row r="105" s="31" customFormat="1" ht="4.2" customHeight="1" x14ac:dyDescent="0.3"/>
    <row r="106" s="31" customFormat="1" ht="4.2" customHeight="1" x14ac:dyDescent="0.3"/>
    <row r="107" s="31" customFormat="1" ht="4.2" customHeight="1" x14ac:dyDescent="0.3"/>
    <row r="108" s="31" customFormat="1" ht="4.2" customHeight="1" x14ac:dyDescent="0.3"/>
    <row r="109" s="31" customFormat="1" ht="4.2" customHeight="1" x14ac:dyDescent="0.3"/>
    <row r="110" s="31" customFormat="1" ht="4.2" customHeight="1" x14ac:dyDescent="0.3"/>
    <row r="111" s="31" customFormat="1" ht="4.2" customHeight="1" x14ac:dyDescent="0.3"/>
    <row r="112" s="31" customFormat="1" ht="4.2" customHeight="1" x14ac:dyDescent="0.3"/>
    <row r="113" s="31" customFormat="1" ht="4.2" customHeight="1" x14ac:dyDescent="0.3"/>
    <row r="114" s="31" customFormat="1" ht="4.2" customHeight="1" x14ac:dyDescent="0.3"/>
    <row r="115" s="31" customFormat="1" ht="4.2" customHeight="1" x14ac:dyDescent="0.3"/>
    <row r="116" s="31" customFormat="1" ht="4.2" customHeight="1" x14ac:dyDescent="0.3"/>
    <row r="117" s="31" customFormat="1" ht="4.2" customHeight="1" x14ac:dyDescent="0.3"/>
    <row r="118" s="31" customFormat="1" ht="4.2" customHeight="1" x14ac:dyDescent="0.3"/>
    <row r="119" s="31" customFormat="1" ht="4.2" customHeight="1" x14ac:dyDescent="0.3"/>
    <row r="120" s="31" customFormat="1" ht="4.2" customHeight="1" x14ac:dyDescent="0.3"/>
    <row r="121" s="31" customFormat="1" ht="4.2" customHeight="1" x14ac:dyDescent="0.3"/>
    <row r="122" s="31" customFormat="1" ht="4.2" customHeight="1" x14ac:dyDescent="0.3"/>
    <row r="123" s="31" customFormat="1" ht="4.2" customHeight="1" x14ac:dyDescent="0.3"/>
    <row r="124" ht="4.2" customHeight="1" x14ac:dyDescent="0.3"/>
    <row r="125" ht="4.2" customHeight="1" x14ac:dyDescent="0.3"/>
    <row r="126" ht="4.2" customHeight="1" x14ac:dyDescent="0.3"/>
    <row r="127" ht="4.2" customHeight="1" x14ac:dyDescent="0.3"/>
  </sheetData>
  <mergeCells count="1">
    <mergeCell ref="B2:Q2"/>
  </mergeCells>
  <pageMargins left="0.25" right="0.25" top="0.75" bottom="0.75" header="0.3" footer="0.3"/>
  <pageSetup scale="71" fitToHeight="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Sheet2</vt:lpstr>
      <vt:lpstr>Sheet3</vt:lpstr>
      <vt:lpstr>Sheet4</vt:lpstr>
      <vt:lpstr>MasterData</vt:lpstr>
      <vt:lpstr>pivot_1</vt:lpstr>
      <vt:lpstr>pivot_2</vt:lpstr>
      <vt:lpstr>pivot_3</vt:lpstr>
      <vt:lpstr>pivot_4</vt:lpstr>
      <vt:lpstr>calc</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DHEERAJ H</dc:creator>
  <cp:lastModifiedBy>DHEERAJ H</cp:lastModifiedBy>
  <cp:lastPrinted>2025-12-15T10:55:52Z</cp:lastPrinted>
  <dcterms:created xsi:type="dcterms:W3CDTF">2025-12-08T06:08:17Z</dcterms:created>
  <dcterms:modified xsi:type="dcterms:W3CDTF">2025-12-15T11:04:46Z</dcterms:modified>
</cp:coreProperties>
</file>